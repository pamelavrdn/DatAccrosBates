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hessoit-my.sharepoint.com/personal/christop_alexakis_hes-so_ch/Documents/HEG - Document/Semestre 5/64-56 A - Projet sur mandat (GREP)/64-56 A - Projet sur mandat/DatAccrosbates/final/rendu/PSM_MethodologieEtPlanification_Annexes/"/>
    </mc:Choice>
  </mc:AlternateContent>
  <xr:revisionPtr revIDLastSave="2995" documentId="11_AD4DB114E441178AC67DF41C96D5E0D8693EDF23" xr6:coauthVersionLast="47" xr6:coauthVersionMax="47" xr10:uidLastSave="{C64B1DF6-AF7A-4594-B91B-0B04B0A017BC}"/>
  <bookViews>
    <workbookView xWindow="-98" yWindow="-98" windowWidth="21795" windowHeight="12975" xr2:uid="{00000000-000D-0000-FFFF-FFFF00000000}"/>
  </bookViews>
  <sheets>
    <sheet name="Planification" sheetId="1" r:id="rId1"/>
    <sheet name="Pamela" sheetId="8" r:id="rId2"/>
    <sheet name="Florian" sheetId="9" r:id="rId3"/>
    <sheet name="Christophe" sheetId="3" r:id="rId4"/>
    <sheet name="Faton" sheetId="10" r:id="rId5"/>
  </sheets>
  <definedNames>
    <definedName name="Début_Projet">Planification!#REF!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9" i="1" l="1"/>
  <c r="O4" i="1"/>
  <c r="O58" i="1"/>
  <c r="O6" i="1"/>
  <c r="O8" i="1"/>
  <c r="O9" i="1"/>
  <c r="O10" i="1"/>
  <c r="O12" i="1"/>
  <c r="O13" i="1"/>
  <c r="O15" i="1"/>
  <c r="O16" i="1"/>
  <c r="O17" i="1"/>
  <c r="O18" i="1"/>
  <c r="O20" i="1"/>
  <c r="O21" i="1"/>
  <c r="O22" i="1"/>
  <c r="O24" i="1"/>
  <c r="O25" i="1"/>
  <c r="O27" i="1"/>
  <c r="O28" i="1"/>
  <c r="O29" i="1"/>
  <c r="O31" i="1"/>
  <c r="O32" i="1"/>
  <c r="O33" i="1"/>
  <c r="O34" i="1"/>
  <c r="O35" i="1"/>
  <c r="O36" i="1"/>
  <c r="O37" i="1"/>
  <c r="O38" i="1"/>
  <c r="O39" i="1"/>
  <c r="O40" i="1"/>
  <c r="O42" i="1"/>
  <c r="O43" i="1"/>
  <c r="O44" i="1"/>
  <c r="O45" i="1"/>
  <c r="O46" i="1"/>
  <c r="O47" i="1"/>
  <c r="O49" i="1"/>
  <c r="O51" i="1"/>
  <c r="O52" i="1"/>
  <c r="O53" i="1"/>
  <c r="O54" i="1"/>
  <c r="O56" i="1"/>
  <c r="O59" i="1"/>
  <c r="O60" i="1"/>
  <c r="O61" i="1"/>
  <c r="O62" i="1"/>
  <c r="O63" i="1"/>
  <c r="O65" i="1"/>
  <c r="O66" i="1"/>
  <c r="O68" i="1"/>
  <c r="O70" i="1"/>
  <c r="O71" i="1"/>
  <c r="O72" i="1"/>
  <c r="O74" i="1"/>
  <c r="O75" i="1"/>
  <c r="O76" i="1"/>
  <c r="O77" i="1"/>
  <c r="O78" i="1"/>
  <c r="D4" i="1"/>
  <c r="H4" i="1"/>
  <c r="H6" i="1"/>
  <c r="H8" i="1"/>
  <c r="H9" i="1"/>
  <c r="H10" i="1"/>
  <c r="H12" i="1"/>
  <c r="H13" i="1"/>
  <c r="H15" i="1"/>
  <c r="H16" i="1"/>
  <c r="H17" i="1"/>
  <c r="H18" i="1"/>
  <c r="H20" i="1"/>
  <c r="H21" i="1"/>
  <c r="H22" i="1"/>
  <c r="H24" i="1"/>
  <c r="H25" i="1"/>
  <c r="H27" i="1"/>
  <c r="H28" i="1"/>
  <c r="H29" i="1"/>
  <c r="H31" i="1"/>
  <c r="H32" i="1"/>
  <c r="H33" i="1"/>
  <c r="H34" i="1"/>
  <c r="H35" i="1"/>
  <c r="H36" i="1"/>
  <c r="H37" i="1"/>
  <c r="H38" i="1"/>
  <c r="H39" i="1"/>
  <c r="H40" i="1"/>
  <c r="H42" i="1"/>
  <c r="H43" i="1"/>
  <c r="H44" i="1"/>
  <c r="H45" i="1"/>
  <c r="H46" i="1"/>
  <c r="H47" i="1"/>
  <c r="H49" i="1"/>
  <c r="H51" i="1"/>
  <c r="H52" i="1"/>
  <c r="H53" i="1"/>
  <c r="H54" i="1"/>
  <c r="H56" i="1"/>
  <c r="H58" i="1"/>
  <c r="H59" i="1"/>
  <c r="H60" i="1"/>
  <c r="H61" i="1"/>
  <c r="H62" i="1"/>
  <c r="H63" i="1"/>
  <c r="H65" i="1"/>
  <c r="H66" i="1"/>
  <c r="H68" i="1"/>
  <c r="D9" i="1" l="1"/>
  <c r="D13" i="1"/>
  <c r="D15" i="1"/>
  <c r="D16" i="1"/>
  <c r="D17" i="1"/>
  <c r="D18" i="1"/>
  <c r="D20" i="1"/>
  <c r="D24" i="1"/>
  <c r="D25" i="1"/>
  <c r="D29" i="1"/>
  <c r="D31" i="1"/>
  <c r="D32" i="1"/>
  <c r="D33" i="1"/>
  <c r="D34" i="1"/>
  <c r="D35" i="1"/>
  <c r="D36" i="1"/>
  <c r="D47" i="1"/>
  <c r="D49" i="1"/>
  <c r="D51" i="1"/>
  <c r="D52" i="1"/>
  <c r="D61" i="1"/>
  <c r="D62" i="1"/>
  <c r="D63" i="1"/>
  <c r="D65" i="1"/>
  <c r="D66" i="1"/>
  <c r="D68" i="1"/>
  <c r="D22" i="1"/>
  <c r="D27" i="1"/>
  <c r="D37" i="1"/>
  <c r="D38" i="1"/>
  <c r="D39" i="1"/>
  <c r="D42" i="1"/>
  <c r="D43" i="1"/>
  <c r="D45" i="1"/>
  <c r="D53" i="1"/>
  <c r="D28" i="1"/>
  <c r="D44" i="1"/>
  <c r="D46" i="1"/>
  <c r="D54" i="1"/>
  <c r="D21" i="1"/>
  <c r="D56" i="1"/>
  <c r="D58" i="1"/>
  <c r="D8" i="1"/>
  <c r="D40" i="1"/>
  <c r="E4" i="1"/>
  <c r="N4" i="1"/>
  <c r="E68" i="1"/>
  <c r="E33" i="1"/>
  <c r="E45" i="1"/>
  <c r="N45" i="1"/>
  <c r="E46" i="1"/>
  <c r="N46" i="1"/>
  <c r="E35" i="1"/>
  <c r="E40" i="1"/>
  <c r="E6" i="1"/>
  <c r="E8" i="1"/>
  <c r="E9" i="1"/>
  <c r="E10" i="1"/>
  <c r="E12" i="1"/>
  <c r="E13" i="1"/>
  <c r="E15" i="1"/>
  <c r="E16" i="1"/>
  <c r="E17" i="1"/>
  <c r="E18" i="1"/>
  <c r="E20" i="1"/>
  <c r="E21" i="1"/>
  <c r="E22" i="1"/>
  <c r="E24" i="1"/>
  <c r="E25" i="1"/>
  <c r="E27" i="1"/>
  <c r="E28" i="1"/>
  <c r="E29" i="1"/>
  <c r="E31" i="1"/>
  <c r="E32" i="1"/>
  <c r="E34" i="1"/>
  <c r="E36" i="1"/>
  <c r="E37" i="1"/>
  <c r="E38" i="1"/>
  <c r="E39" i="1"/>
  <c r="E42" i="1"/>
  <c r="E43" i="1"/>
  <c r="E44" i="1"/>
  <c r="E47" i="1"/>
  <c r="E49" i="1"/>
  <c r="E51" i="1"/>
  <c r="E52" i="1"/>
  <c r="E53" i="1"/>
  <c r="E54" i="1"/>
  <c r="E56" i="1"/>
  <c r="E58" i="1"/>
  <c r="E59" i="1"/>
  <c r="E60" i="1"/>
  <c r="E61" i="1"/>
  <c r="E62" i="1"/>
  <c r="E63" i="1"/>
  <c r="E65" i="1"/>
  <c r="E66" i="1"/>
  <c r="K79" i="1"/>
  <c r="L79" i="1"/>
  <c r="M79" i="1"/>
  <c r="N21" i="1"/>
  <c r="N6" i="1"/>
  <c r="N8" i="1"/>
  <c r="N9" i="1"/>
  <c r="N10" i="1"/>
  <c r="N12" i="1"/>
  <c r="N13" i="1"/>
  <c r="N15" i="1"/>
  <c r="N16" i="1"/>
  <c r="N17" i="1"/>
  <c r="N18" i="1"/>
  <c r="N20" i="1"/>
  <c r="N22" i="1"/>
  <c r="N24" i="1"/>
  <c r="N25" i="1"/>
  <c r="N27" i="1"/>
  <c r="N28" i="1"/>
  <c r="N29" i="1"/>
  <c r="N31" i="1"/>
  <c r="N32" i="1"/>
  <c r="N33" i="1"/>
  <c r="N34" i="1"/>
  <c r="N35" i="1"/>
  <c r="N36" i="1"/>
  <c r="N37" i="1"/>
  <c r="N38" i="1"/>
  <c r="N39" i="1"/>
  <c r="N40" i="1"/>
  <c r="N42" i="1"/>
  <c r="N43" i="1"/>
  <c r="N44" i="1"/>
  <c r="N47" i="1"/>
  <c r="N49" i="1"/>
  <c r="N51" i="1"/>
  <c r="N52" i="1"/>
  <c r="N53" i="1"/>
  <c r="N54" i="1"/>
  <c r="N56" i="1"/>
  <c r="N58" i="1"/>
  <c r="N59" i="1"/>
  <c r="N60" i="1"/>
  <c r="N61" i="1"/>
  <c r="N62" i="1"/>
  <c r="N63" i="1"/>
  <c r="N65" i="1"/>
  <c r="N66" i="1"/>
  <c r="N68" i="1"/>
  <c r="N70" i="1"/>
  <c r="N71" i="1"/>
  <c r="N72" i="1"/>
  <c r="N74" i="1"/>
  <c r="N75" i="1"/>
  <c r="N76" i="1"/>
  <c r="N77" i="1"/>
  <c r="N78" i="1"/>
  <c r="N79" i="1"/>
  <c r="D6" i="1"/>
  <c r="D59" i="1"/>
  <c r="D60" i="1"/>
  <c r="D10" i="1"/>
  <c r="D12" i="1"/>
</calcChain>
</file>

<file path=xl/sharedStrings.xml><?xml version="1.0" encoding="utf-8"?>
<sst xmlns="http://schemas.openxmlformats.org/spreadsheetml/2006/main" count="288" uniqueCount="175">
  <si>
    <t>Estimation des tâches</t>
  </si>
  <si>
    <t>Numéro</t>
  </si>
  <si>
    <t>Nom de la tâche</t>
  </si>
  <si>
    <t>Début tôt</t>
  </si>
  <si>
    <t>Début tard</t>
  </si>
  <si>
    <t>Fin tôt</t>
  </si>
  <si>
    <t>Fin tard</t>
  </si>
  <si>
    <t>Durée</t>
  </si>
  <si>
    <t>Marge</t>
  </si>
  <si>
    <t>Dépendances</t>
  </si>
  <si>
    <t>Membres</t>
  </si>
  <si>
    <t>Temps optimiste</t>
  </si>
  <si>
    <t>Temps pessimiste</t>
  </si>
  <si>
    <t>Temps vraisemblable</t>
  </si>
  <si>
    <t>Temps estimé</t>
  </si>
  <si>
    <t>Temps réel</t>
  </si>
  <si>
    <t>Tâches avant planification</t>
  </si>
  <si>
    <t>Document de projet, architecture, gestion des risques, méthodologie, planification</t>
  </si>
  <si>
    <t>Equipe</t>
  </si>
  <si>
    <t>Milestone 1</t>
  </si>
  <si>
    <t>Correction de l'architecture</t>
  </si>
  <si>
    <t>Chris</t>
  </si>
  <si>
    <t>Milestone 2</t>
  </si>
  <si>
    <t>Processus métier au clair pour réaliser les maquettes</t>
  </si>
  <si>
    <t>Conception des maquettes</t>
  </si>
  <si>
    <t>Chris, Florian</t>
  </si>
  <si>
    <t>Révisions et ajustements des maquettes</t>
  </si>
  <si>
    <t>Milestone 3</t>
  </si>
  <si>
    <t>Plan d'assurance qualité</t>
  </si>
  <si>
    <t>Chris, Florian, Pamela</t>
  </si>
  <si>
    <t>Plan de communication</t>
  </si>
  <si>
    <t>Florian, Faton</t>
  </si>
  <si>
    <t>Milestone 4</t>
  </si>
  <si>
    <t>Choix du langage de programmation back-end</t>
  </si>
  <si>
    <t>Pamela</t>
  </si>
  <si>
    <t>Choix du langage de programmation front-end</t>
  </si>
  <si>
    <t>Choix du système de gestion de base de données</t>
  </si>
  <si>
    <t>Choix des outils de collaboration et de développement</t>
  </si>
  <si>
    <t>Milestone 5</t>
  </si>
  <si>
    <t>Installation de la SGBD choisie</t>
  </si>
  <si>
    <t>Florian</t>
  </si>
  <si>
    <t>Création des tables de la BDD</t>
  </si>
  <si>
    <t>Chris, Faton</t>
  </si>
  <si>
    <t>Création des relations entre les tables et des contraintes</t>
  </si>
  <si>
    <t>Florian, Pamela</t>
  </si>
  <si>
    <t>Milestone 6</t>
  </si>
  <si>
    <t>Développer l'interface utilisateur de toutes les pages WEB</t>
  </si>
  <si>
    <t>Intégration de la logique back-end</t>
  </si>
  <si>
    <t>7, 12, 13, 14</t>
  </si>
  <si>
    <t>Pamela, Faton</t>
  </si>
  <si>
    <t>Milestone 7</t>
  </si>
  <si>
    <t>Création de données fictives</t>
  </si>
  <si>
    <t>Faton</t>
  </si>
  <si>
    <t>Développement du programme d'insertion de données</t>
  </si>
  <si>
    <t>Test du programme d'insertion de données</t>
  </si>
  <si>
    <t>Milestone 8</t>
  </si>
  <si>
    <t>Fonctionnalités admin : SuperGestion des intervenants</t>
  </si>
  <si>
    <t>14, 15</t>
  </si>
  <si>
    <t>Fonctionnalités admin : Création des concours</t>
  </si>
  <si>
    <t>Fonctionnalités admin : Modification des concours</t>
  </si>
  <si>
    <t>Fonctionnalités admin : Gestion des comptes utilisateurs</t>
  </si>
  <si>
    <t>Fonctionnalités coach classique : Création des gymnastes</t>
  </si>
  <si>
    <t>Fonctionnalités coach classique : Consulter infos gymnastes</t>
  </si>
  <si>
    <t>Fonctionnalités coach classique : Modifier infos gymnastes</t>
  </si>
  <si>
    <t>Fonctionnalités coach classique : Selection des gymnastes pour concourir</t>
  </si>
  <si>
    <t>20, 23</t>
  </si>
  <si>
    <t>Fonctionnalités coach classique : Selection des catégories des gymnastes</t>
  </si>
  <si>
    <t>Tester et valider les fonctionnalités du 1er prototype</t>
  </si>
  <si>
    <t>19, 20, 21, 22, 23, 24, 25, 26, 27</t>
  </si>
  <si>
    <t>Milestone 9</t>
  </si>
  <si>
    <t>Fonctionnalités admin : Import des données format CSV</t>
  </si>
  <si>
    <t>Fonctionnalités admin : Export des données format CSV</t>
  </si>
  <si>
    <t>Fonctionnalités admin : Calcul du montant à payer et nombre de juges</t>
  </si>
  <si>
    <t>Fonctionnalités coach classique : Statistiques des sociétés</t>
  </si>
  <si>
    <t>Fonctionnalité coach classique : Sélection des gymnastes pour concours par équipe</t>
  </si>
  <si>
    <t>Tester et valider les fonctionnalités du 2ème prototype</t>
  </si>
  <si>
    <t>29, 30, 31, 32, 33</t>
  </si>
  <si>
    <t>Milestone 10</t>
  </si>
  <si>
    <t>Tester toutes les fonctionnalités faites jusqu'à maintenant (1er et 2ème prototype)</t>
  </si>
  <si>
    <t>28, 34</t>
  </si>
  <si>
    <t>Milestone 11</t>
  </si>
  <si>
    <t>Fonctionnalités coach privilégié : Modification des contacts</t>
  </si>
  <si>
    <t>Fonctionnalités coach privilégié : Split Société</t>
  </si>
  <si>
    <t>Fonctionnalité : Historique des gymnastes</t>
  </si>
  <si>
    <t>Tester et valider les fonctionnalités du 3ème prototype</t>
  </si>
  <si>
    <t>36, 37, 38</t>
  </si>
  <si>
    <t>Milestone 12</t>
  </si>
  <si>
    <t>Exécuter les derniers tests avant le déploiement</t>
  </si>
  <si>
    <t>28, 34, 39</t>
  </si>
  <si>
    <t>Milestone 13</t>
  </si>
  <si>
    <t>Documenter le manuel de transition des données</t>
  </si>
  <si>
    <t>Documenter le manuel utilisateur du 1er prototype</t>
  </si>
  <si>
    <t>Rédaction du manuel de maintenance et du manuel de sécurité</t>
  </si>
  <si>
    <t>Documenter le manuel utilisateur du 2eme prototype</t>
  </si>
  <si>
    <t>Documenter le manuel utilisateur du 3eme prototype</t>
  </si>
  <si>
    <t>Environnement et jeux de tests</t>
  </si>
  <si>
    <t>Milestone 14</t>
  </si>
  <si>
    <t>Déployer l'application sur le serveur choisi</t>
  </si>
  <si>
    <t>Chris, Pamela</t>
  </si>
  <si>
    <t>Vérifier les manuels</t>
  </si>
  <si>
    <t>41, 42, 43, 44, 45</t>
  </si>
  <si>
    <t>Milestone 15</t>
  </si>
  <si>
    <t>Corrections et améliorations proposées par le mandant après test de l'application</t>
  </si>
  <si>
    <t>47, 48</t>
  </si>
  <si>
    <t>Corrections</t>
  </si>
  <si>
    <t>Corrections COPIL</t>
  </si>
  <si>
    <t>Corrections Mandant</t>
  </si>
  <si>
    <t>Corrections Equipe</t>
  </si>
  <si>
    <t>Rendez-vous</t>
  </si>
  <si>
    <t>COPIL : acceptations, point de contrôle, soutenance</t>
  </si>
  <si>
    <t>COPIL : préparation des rendez-vous</t>
  </si>
  <si>
    <t>COPIL : rédaction des PV</t>
  </si>
  <si>
    <t>Mandant : appel Teams ou physique</t>
  </si>
  <si>
    <t>Mandant : rédaction des PV</t>
  </si>
  <si>
    <t>Total</t>
  </si>
  <si>
    <t>Pamela Verdon</t>
  </si>
  <si>
    <t>Numéro de la tâche</t>
  </si>
  <si>
    <t>Date</t>
  </si>
  <si>
    <t xml:space="preserve">Temps réel </t>
  </si>
  <si>
    <t>Description</t>
  </si>
  <si>
    <t>27.09.2023 - 18.10.2023</t>
  </si>
  <si>
    <t>Temps estimé des premières semaines (avant planification)</t>
  </si>
  <si>
    <t>Préparation RDV A0</t>
  </si>
  <si>
    <t>RDV acceptation A0</t>
  </si>
  <si>
    <t>Appel 1 avec mandant</t>
  </si>
  <si>
    <t>Préparation RDV A1</t>
  </si>
  <si>
    <t>RDV acceptation A1</t>
  </si>
  <si>
    <t>26.10.2023 - 01.11.2023</t>
  </si>
  <si>
    <t>Méthodologie : précision du choix développement itératif et incrémental, utilisation Trello
Document de projet : corrections fonctionnalités, analyse de l'existant
Gestion des risques : atténuation et prévention
Références des documents</t>
  </si>
  <si>
    <t>PAQ (en appel équipe)</t>
  </si>
  <si>
    <t>Appel 2 avec mandant</t>
  </si>
  <si>
    <t>Questions posées au mandant pendant appel</t>
  </si>
  <si>
    <t>Corrections de la première lecture du document de projet par le mandant</t>
  </si>
  <si>
    <t>Plan de communication (en appel équipe)</t>
  </si>
  <si>
    <t>Préparation RDV A2</t>
  </si>
  <si>
    <t>RDV acceptation A2</t>
  </si>
  <si>
    <t>Modification nom de certaines fonctionnalités et donc changement dans planif et milestones</t>
  </si>
  <si>
    <t>Scénarios pour réaliser ensuite les diagrammes organisationnels BPMN</t>
  </si>
  <si>
    <t>Précision cahier des charges, plan de comm et avis utilisateurs finaux et esquisse de l'analyse multicritères pour choix de méthodologie</t>
  </si>
  <si>
    <t>Analyse multicritères pour choix méthodologie</t>
  </si>
  <si>
    <t>Gestion des risques (pas tout en vert)</t>
  </si>
  <si>
    <t>PAQ ajout du "diff" et dossier conception</t>
  </si>
  <si>
    <t>Ajustement des tâches par rapport à Trello dans Excel, premier remplissage du temps réel</t>
  </si>
  <si>
    <t>Planif (membres, temps estimé, dates, marges)</t>
  </si>
  <si>
    <t>Planif -&gt; tableaux dans dossier Méthodologie et Planification / Prix du projet / BPMN</t>
  </si>
  <si>
    <t>Recherches services cloud</t>
  </si>
  <si>
    <t>Recherches et rédaction</t>
  </si>
  <si>
    <t>Florian Naef</t>
  </si>
  <si>
    <t>Planification : explication des colonnes Trello
Gestion des risques : atténuation et prévention
Document de projet : concurrence</t>
  </si>
  <si>
    <t>13.11.2023 - 26.11.2023</t>
  </si>
  <si>
    <t>Maquettes</t>
  </si>
  <si>
    <t>Christophe Alexakis</t>
  </si>
  <si>
    <t>PV A0</t>
  </si>
  <si>
    <t>Gantt : recherches et essais
Document de projet : temps des milestones
Planification : estimation prix projet</t>
  </si>
  <si>
    <t>Couleurs dans les diagrammes, nommage des relations et corrections des 3 diagrammes (classes, MCD, MLD)</t>
  </si>
  <si>
    <t>Estimer le temps des tâches et mettre en forme</t>
  </si>
  <si>
    <t xml:space="preserve">Conception </t>
  </si>
  <si>
    <t>Mettre au propre</t>
  </si>
  <si>
    <t>Faire les dernières maquettes discutées</t>
  </si>
  <si>
    <t>Faton Zumeri</t>
  </si>
  <si>
    <t>PV A1</t>
  </si>
  <si>
    <t>Document de projet : fonctionnalités détaillées</t>
  </si>
  <si>
    <t>Premier jet du plan de communication</t>
  </si>
  <si>
    <t>PV A2</t>
  </si>
  <si>
    <t>N°57</t>
  </si>
  <si>
    <t>PV Mandant</t>
  </si>
  <si>
    <t>Modification fichier Import_v2</t>
  </si>
  <si>
    <t>Modification fichier Export_v2</t>
  </si>
  <si>
    <t>RDV Mandant</t>
  </si>
  <si>
    <t>N°56</t>
  </si>
  <si>
    <t>Faire le modèle/exemple d'une page utilisateur (historique)</t>
  </si>
  <si>
    <t>On tient un truc, on lâche rien</t>
  </si>
  <si>
    <t>RDV PDC1</t>
  </si>
  <si>
    <t>Test code carte violette</t>
  </si>
  <si>
    <t>Formulaire d'inscirption des gymnastes, coach, admin, société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</si>
</sst>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;@"/>
    <numFmt numFmtId="165" formatCode="General\ &quot;jours&quot;"/>
    <numFmt numFmtId="166" formatCode="General\ &quot;heures&quot;"/>
    <numFmt numFmtId="167" formatCode="&quot;N°&quot;General"/>
    <numFmt numFmtId="168" formatCode="#,##0\ &quot;heures&quot;"/>
    <numFmt numFmtId="169" formatCode="#,##0.00\ &quot;heures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B3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1FF"/>
        <bgColor indexed="64"/>
      </patternFill>
    </fill>
    <fill>
      <patternFill patternType="solid">
        <fgColor rgb="FFD3B0F6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theme="0" tint="-0.14996795556505021"/>
      </bottom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theme="0" tint="-0.14996795556505021"/>
      </top>
      <bottom/>
      <diagonal/>
    </border>
    <border>
      <left style="medium">
        <color indexed="64"/>
      </left>
      <right/>
      <top style="medium">
        <color theme="0" tint="-0.14996795556505021"/>
      </top>
      <bottom/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/>
      <diagonal/>
    </border>
    <border>
      <left/>
      <right style="medium">
        <color indexed="64"/>
      </right>
      <top/>
      <bottom style="medium">
        <color theme="0" tint="-0.14996795556505021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2" applyFill="0">
      <alignment horizontal="left" vertical="center" indent="2"/>
    </xf>
    <xf numFmtId="0" fontId="1" fillId="0" borderId="2" applyFill="0">
      <alignment horizontal="center" vertical="center"/>
    </xf>
    <xf numFmtId="164" fontId="1" fillId="0" borderId="2" applyFill="0">
      <alignment horizontal="center" vertical="center"/>
    </xf>
  </cellStyleXfs>
  <cellXfs count="206">
    <xf numFmtId="0" fontId="0" fillId="0" borderId="0" xfId="0"/>
    <xf numFmtId="0" fontId="0" fillId="0" borderId="0" xfId="0" applyAlignment="1">
      <alignment wrapText="1"/>
    </xf>
    <xf numFmtId="0" fontId="1" fillId="6" borderId="2" xfId="1" applyFill="1" applyAlignment="1">
      <alignment horizontal="left" vertical="center" wrapText="1"/>
    </xf>
    <xf numFmtId="0" fontId="1" fillId="4" borderId="2" xfId="1" applyFill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1" fillId="9" borderId="2" xfId="1" applyFill="1" applyAlignment="1">
      <alignment horizontal="left" vertical="center" wrapText="1"/>
    </xf>
    <xf numFmtId="14" fontId="3" fillId="6" borderId="5" xfId="3" applyNumberFormat="1" applyFont="1" applyFill="1" applyBorder="1">
      <alignment horizontal="center" vertical="center"/>
    </xf>
    <xf numFmtId="14" fontId="3" fillId="4" borderId="5" xfId="3" applyNumberFormat="1" applyFont="1" applyFill="1" applyBorder="1">
      <alignment horizontal="center" vertical="center"/>
    </xf>
    <xf numFmtId="14" fontId="3" fillId="9" borderId="5" xfId="3" applyNumberFormat="1" applyFont="1" applyFill="1" applyBorder="1">
      <alignment horizontal="center" vertical="center"/>
    </xf>
    <xf numFmtId="14" fontId="3" fillId="4" borderId="5" xfId="1" applyNumberFormat="1" applyFont="1" applyFill="1" applyBorder="1" applyAlignment="1">
      <alignment horizontal="center" vertical="center" wrapText="1"/>
    </xf>
    <xf numFmtId="14" fontId="3" fillId="9" borderId="5" xfId="1" applyNumberFormat="1" applyFont="1" applyFill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0" fontId="0" fillId="0" borderId="4" xfId="0" applyBorder="1"/>
    <xf numFmtId="14" fontId="0" fillId="0" borderId="0" xfId="0" applyNumberFormat="1" applyAlignment="1">
      <alignment horizontal="center"/>
    </xf>
    <xf numFmtId="166" fontId="3" fillId="6" borderId="5" xfId="3" applyNumberFormat="1" applyFont="1" applyFill="1" applyBorder="1">
      <alignment horizontal="center" vertical="center"/>
    </xf>
    <xf numFmtId="166" fontId="3" fillId="4" borderId="5" xfId="3" applyNumberFormat="1" applyFont="1" applyFill="1" applyBorder="1">
      <alignment horizontal="center" vertical="center"/>
    </xf>
    <xf numFmtId="166" fontId="3" fillId="9" borderId="5" xfId="3" applyNumberFormat="1" applyFont="1" applyFill="1" applyBorder="1">
      <alignment horizontal="center" vertical="center"/>
    </xf>
    <xf numFmtId="0" fontId="0" fillId="0" borderId="6" xfId="0" applyBorder="1"/>
    <xf numFmtId="14" fontId="3" fillId="3" borderId="10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6" borderId="5" xfId="3" applyNumberFormat="1" applyFont="1" applyFill="1" applyBorder="1">
      <alignment horizontal="center" vertical="center"/>
    </xf>
    <xf numFmtId="0" fontId="3" fillId="4" borderId="5" xfId="3" applyNumberFormat="1" applyFont="1" applyFill="1" applyBorder="1">
      <alignment horizontal="center" vertical="center"/>
    </xf>
    <xf numFmtId="0" fontId="3" fillId="9" borderId="5" xfId="3" applyNumberFormat="1" applyFont="1" applyFill="1" applyBorder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6" borderId="2" xfId="1" applyFont="1" applyFill="1" applyAlignment="1">
      <alignment horizontal="center" vertical="center" wrapText="1"/>
    </xf>
    <xf numFmtId="0" fontId="2" fillId="4" borderId="2" xfId="1" applyFont="1" applyFill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1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7" fontId="8" fillId="10" borderId="12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7" fillId="0" borderId="12" xfId="0" applyNumberFormat="1" applyFont="1" applyBorder="1" applyAlignment="1">
      <alignment horizontal="center" vertical="center"/>
    </xf>
    <xf numFmtId="166" fontId="7" fillId="0" borderId="1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 wrapText="1"/>
    </xf>
    <xf numFmtId="0" fontId="2" fillId="6" borderId="14" xfId="1" applyFont="1" applyFill="1" applyBorder="1" applyAlignment="1">
      <alignment horizontal="center" vertical="center" wrapText="1"/>
    </xf>
    <xf numFmtId="0" fontId="1" fillId="6" borderId="14" xfId="1" applyFill="1" applyBorder="1" applyAlignment="1">
      <alignment horizontal="left" vertical="center" wrapText="1"/>
    </xf>
    <xf numFmtId="166" fontId="3" fillId="6" borderId="15" xfId="3" applyNumberFormat="1" applyFont="1" applyFill="1" applyBorder="1">
      <alignment horizontal="center" vertical="center"/>
    </xf>
    <xf numFmtId="0" fontId="2" fillId="4" borderId="7" xfId="1" applyFont="1" applyFill="1" applyBorder="1" applyAlignment="1">
      <alignment horizontal="center" vertical="center" wrapText="1"/>
    </xf>
    <xf numFmtId="0" fontId="1" fillId="4" borderId="7" xfId="1" applyFill="1" applyBorder="1" applyAlignment="1">
      <alignment horizontal="left" vertical="center" wrapText="1"/>
    </xf>
    <xf numFmtId="14" fontId="3" fillId="4" borderId="8" xfId="1" applyNumberFormat="1" applyFont="1" applyFill="1" applyBorder="1" applyAlignment="1">
      <alignment horizontal="center" vertical="center" wrapText="1"/>
    </xf>
    <xf numFmtId="166" fontId="3" fillId="4" borderId="8" xfId="3" applyNumberFormat="1" applyFont="1" applyFill="1" applyBorder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left" vertical="center" wrapText="1"/>
    </xf>
    <xf numFmtId="14" fontId="5" fillId="7" borderId="0" xfId="0" applyNumberFormat="1" applyFont="1" applyFill="1" applyAlignment="1">
      <alignment horizontal="center" vertical="center" wrapText="1"/>
    </xf>
    <xf numFmtId="0" fontId="5" fillId="7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center" vertical="center" wrapText="1"/>
    </xf>
    <xf numFmtId="0" fontId="2" fillId="9" borderId="14" xfId="1" applyFont="1" applyFill="1" applyBorder="1" applyAlignment="1">
      <alignment horizontal="center" vertical="center" wrapText="1"/>
    </xf>
    <xf numFmtId="0" fontId="1" fillId="9" borderId="14" xfId="1" applyFill="1" applyBorder="1" applyAlignment="1">
      <alignment horizontal="left" vertical="center" wrapText="1"/>
    </xf>
    <xf numFmtId="166" fontId="3" fillId="9" borderId="15" xfId="3" applyNumberFormat="1" applyFont="1" applyFill="1" applyBorder="1">
      <alignment horizontal="center" vertical="center"/>
    </xf>
    <xf numFmtId="0" fontId="2" fillId="4" borderId="14" xfId="1" applyFont="1" applyFill="1" applyBorder="1" applyAlignment="1">
      <alignment horizontal="center" vertical="center" wrapText="1"/>
    </xf>
    <xf numFmtId="0" fontId="1" fillId="4" borderId="14" xfId="1" applyFill="1" applyBorder="1" applyAlignment="1">
      <alignment horizontal="left" vertical="center" wrapText="1"/>
    </xf>
    <xf numFmtId="166" fontId="3" fillId="4" borderId="15" xfId="3" applyNumberFormat="1" applyFont="1" applyFill="1" applyBorder="1">
      <alignment horizontal="center" vertical="center"/>
    </xf>
    <xf numFmtId="0" fontId="3" fillId="4" borderId="15" xfId="1" applyFont="1" applyFill="1" applyBorder="1" applyAlignment="1">
      <alignment horizontal="center" vertical="center" wrapText="1"/>
    </xf>
    <xf numFmtId="14" fontId="3" fillId="6" borderId="15" xfId="3" applyNumberFormat="1" applyFont="1" applyFill="1" applyBorder="1">
      <alignment horizontal="center" vertical="center"/>
    </xf>
    <xf numFmtId="0" fontId="3" fillId="6" borderId="15" xfId="3" applyNumberFormat="1" applyFont="1" applyFill="1" applyBorder="1">
      <alignment horizontal="center" vertical="center"/>
    </xf>
    <xf numFmtId="14" fontId="3" fillId="9" borderId="15" xfId="3" applyNumberFormat="1" applyFont="1" applyFill="1" applyBorder="1">
      <alignment horizontal="center" vertical="center"/>
    </xf>
    <xf numFmtId="0" fontId="3" fillId="9" borderId="15" xfId="3" applyNumberFormat="1" applyFont="1" applyFill="1" applyBorder="1">
      <alignment horizontal="center" vertical="center"/>
    </xf>
    <xf numFmtId="14" fontId="3" fillId="4" borderId="15" xfId="3" applyNumberFormat="1" applyFont="1" applyFill="1" applyBorder="1">
      <alignment horizontal="center" vertical="center"/>
    </xf>
    <xf numFmtId="0" fontId="3" fillId="4" borderId="15" xfId="3" applyNumberFormat="1" applyFont="1" applyFill="1" applyBorder="1">
      <alignment horizontal="center" vertical="center"/>
    </xf>
    <xf numFmtId="0" fontId="2" fillId="6" borderId="7" xfId="1" applyFont="1" applyFill="1" applyBorder="1" applyAlignment="1">
      <alignment horizontal="center" vertical="center" wrapText="1"/>
    </xf>
    <xf numFmtId="0" fontId="1" fillId="6" borderId="7" xfId="1" applyFill="1" applyBorder="1" applyAlignment="1">
      <alignment horizontal="left" vertical="center" wrapText="1"/>
    </xf>
    <xf numFmtId="14" fontId="3" fillId="6" borderId="8" xfId="3" applyNumberFormat="1" applyFont="1" applyFill="1" applyBorder="1">
      <alignment horizontal="center" vertical="center"/>
    </xf>
    <xf numFmtId="166" fontId="3" fillId="6" borderId="8" xfId="3" applyNumberFormat="1" applyFont="1" applyFill="1" applyBorder="1">
      <alignment horizontal="center" vertical="center"/>
    </xf>
    <xf numFmtId="0" fontId="3" fillId="6" borderId="8" xfId="3" applyNumberFormat="1" applyFont="1" applyFill="1" applyBorder="1">
      <alignment horizontal="center" vertical="center"/>
    </xf>
    <xf numFmtId="0" fontId="2" fillId="9" borderId="0" xfId="1" applyFont="1" applyFill="1" applyBorder="1" applyAlignment="1">
      <alignment horizontal="center" vertical="center" wrapText="1"/>
    </xf>
    <xf numFmtId="0" fontId="1" fillId="9" borderId="0" xfId="1" applyFill="1" applyBorder="1" applyAlignment="1">
      <alignment horizontal="left" vertical="center" wrapText="1"/>
    </xf>
    <xf numFmtId="14" fontId="3" fillId="9" borderId="6" xfId="1" applyNumberFormat="1" applyFont="1" applyFill="1" applyBorder="1" applyAlignment="1">
      <alignment horizontal="center" vertical="center" wrapText="1"/>
    </xf>
    <xf numFmtId="0" fontId="3" fillId="9" borderId="6" xfId="1" applyFont="1" applyFill="1" applyBorder="1" applyAlignment="1">
      <alignment horizontal="center" vertical="center" wrapText="1"/>
    </xf>
    <xf numFmtId="0" fontId="2" fillId="6" borderId="0" xfId="1" applyFont="1" applyFill="1" applyBorder="1" applyAlignment="1">
      <alignment horizontal="center" vertical="center" wrapText="1"/>
    </xf>
    <xf numFmtId="0" fontId="1" fillId="6" borderId="0" xfId="1" applyFill="1" applyBorder="1" applyAlignment="1">
      <alignment horizontal="left" vertical="center" wrapText="1"/>
    </xf>
    <xf numFmtId="14" fontId="3" fillId="6" borderId="6" xfId="3" applyNumberFormat="1" applyFont="1" applyFill="1" applyBorder="1">
      <alignment horizontal="center" vertical="center"/>
    </xf>
    <xf numFmtId="166" fontId="3" fillId="6" borderId="6" xfId="3" applyNumberFormat="1" applyFont="1" applyFill="1" applyBorder="1">
      <alignment horizontal="center" vertical="center"/>
    </xf>
    <xf numFmtId="0" fontId="3" fillId="6" borderId="6" xfId="3" applyNumberFormat="1" applyFont="1" applyFill="1" applyBorder="1">
      <alignment horizontal="center" vertical="center"/>
    </xf>
    <xf numFmtId="0" fontId="2" fillId="9" borderId="7" xfId="1" applyFont="1" applyFill="1" applyBorder="1" applyAlignment="1">
      <alignment horizontal="center" vertical="center" wrapText="1"/>
    </xf>
    <xf numFmtId="0" fontId="1" fillId="9" borderId="7" xfId="1" applyFill="1" applyBorder="1" applyAlignment="1">
      <alignment horizontal="left" vertical="center" wrapText="1"/>
    </xf>
    <xf numFmtId="14" fontId="3" fillId="9" borderId="8" xfId="3" applyNumberFormat="1" applyFont="1" applyFill="1" applyBorder="1">
      <alignment horizontal="center" vertical="center"/>
    </xf>
    <xf numFmtId="166" fontId="3" fillId="9" borderId="8" xfId="3" applyNumberFormat="1" applyFont="1" applyFill="1" applyBorder="1">
      <alignment horizontal="center" vertical="center"/>
    </xf>
    <xf numFmtId="0" fontId="3" fillId="9" borderId="8" xfId="3" applyNumberFormat="1" applyFont="1" applyFill="1" applyBorder="1">
      <alignment horizontal="center" vertical="center"/>
    </xf>
    <xf numFmtId="14" fontId="3" fillId="4" borderId="8" xfId="3" applyNumberFormat="1" applyFont="1" applyFill="1" applyBorder="1">
      <alignment horizontal="center" vertical="center"/>
    </xf>
    <xf numFmtId="0" fontId="3" fillId="4" borderId="8" xfId="3" applyNumberFormat="1" applyFont="1" applyFill="1" applyBorder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14" fontId="5" fillId="5" borderId="0" xfId="0" applyNumberFormat="1" applyFont="1" applyFill="1" applyAlignment="1">
      <alignment horizontal="center" vertical="center"/>
    </xf>
    <xf numFmtId="14" fontId="5" fillId="5" borderId="0" xfId="0" applyNumberFormat="1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left" vertical="center" wrapText="1"/>
    </xf>
    <xf numFmtId="14" fontId="5" fillId="8" borderId="0" xfId="0" applyNumberFormat="1" applyFont="1" applyFill="1" applyAlignment="1">
      <alignment horizontal="center" vertical="center" wrapText="1"/>
    </xf>
    <xf numFmtId="0" fontId="5" fillId="8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center" vertical="center" wrapText="1"/>
    </xf>
    <xf numFmtId="14" fontId="3" fillId="8" borderId="0" xfId="0" applyNumberFormat="1" applyFont="1" applyFill="1" applyAlignment="1">
      <alignment horizontal="center" vertical="center"/>
    </xf>
    <xf numFmtId="165" fontId="3" fillId="8" borderId="0" xfId="0" applyNumberFormat="1" applyFont="1" applyFill="1" applyAlignment="1">
      <alignment horizontal="center" vertical="center"/>
    </xf>
    <xf numFmtId="166" fontId="6" fillId="8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166" fontId="6" fillId="7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2" fillId="4" borderId="0" xfId="1" applyFont="1" applyFill="1" applyBorder="1" applyAlignment="1">
      <alignment horizontal="center" vertical="center" wrapText="1"/>
    </xf>
    <xf numFmtId="0" fontId="1" fillId="4" borderId="0" xfId="1" applyFill="1" applyBorder="1" applyAlignment="1">
      <alignment horizontal="left" vertical="center" wrapText="1"/>
    </xf>
    <xf numFmtId="14" fontId="3" fillId="4" borderId="6" xfId="1" applyNumberFormat="1" applyFont="1" applyFill="1" applyBorder="1" applyAlignment="1">
      <alignment horizontal="center" vertical="center" wrapText="1"/>
    </xf>
    <xf numFmtId="14" fontId="3" fillId="0" borderId="8" xfId="1" applyNumberFormat="1" applyFont="1" applyFill="1" applyBorder="1" applyAlignment="1">
      <alignment horizontal="center" vertical="center" wrapText="1"/>
    </xf>
    <xf numFmtId="166" fontId="3" fillId="4" borderId="9" xfId="3" applyNumberFormat="1" applyFont="1" applyFill="1" applyBorder="1">
      <alignment horizontal="center" vertical="center"/>
    </xf>
    <xf numFmtId="166" fontId="3" fillId="4" borderId="3" xfId="3" applyNumberFormat="1" applyFont="1" applyFill="1" applyBorder="1">
      <alignment horizontal="center" vertical="center"/>
    </xf>
    <xf numFmtId="166" fontId="3" fillId="4" borderId="16" xfId="3" applyNumberFormat="1" applyFont="1" applyFill="1" applyBorder="1">
      <alignment horizontal="center" vertical="center"/>
    </xf>
    <xf numFmtId="166" fontId="3" fillId="6" borderId="16" xfId="3" applyNumberFormat="1" applyFont="1" applyFill="1" applyBorder="1">
      <alignment horizontal="center" vertical="center"/>
    </xf>
    <xf numFmtId="166" fontId="3" fillId="9" borderId="9" xfId="3" applyNumberFormat="1" applyFont="1" applyFill="1" applyBorder="1">
      <alignment horizontal="center" vertical="center"/>
    </xf>
    <xf numFmtId="166" fontId="3" fillId="9" borderId="3" xfId="3" applyNumberFormat="1" applyFont="1" applyFill="1" applyBorder="1">
      <alignment horizontal="center" vertical="center"/>
    </xf>
    <xf numFmtId="166" fontId="3" fillId="6" borderId="9" xfId="3" applyNumberFormat="1" applyFont="1" applyFill="1" applyBorder="1">
      <alignment horizontal="center" vertical="center"/>
    </xf>
    <xf numFmtId="166" fontId="3" fillId="6" borderId="3" xfId="3" applyNumberFormat="1" applyFont="1" applyFill="1" applyBorder="1">
      <alignment horizontal="center" vertical="center"/>
    </xf>
    <xf numFmtId="166" fontId="3" fillId="9" borderId="16" xfId="3" applyNumberFormat="1" applyFont="1" applyFill="1" applyBorder="1">
      <alignment horizontal="center" vertical="center"/>
    </xf>
    <xf numFmtId="166" fontId="3" fillId="6" borderId="4" xfId="3" applyNumberFormat="1" applyFont="1" applyFill="1" applyBorder="1">
      <alignment horizontal="center" vertical="center"/>
    </xf>
    <xf numFmtId="166" fontId="3" fillId="4" borderId="9" xfId="1" applyNumberFormat="1" applyFont="1" applyFill="1" applyBorder="1" applyAlignment="1">
      <alignment horizontal="center" vertical="center" wrapText="1"/>
    </xf>
    <xf numFmtId="166" fontId="3" fillId="4" borderId="3" xfId="1" applyNumberFormat="1" applyFont="1" applyFill="1" applyBorder="1" applyAlignment="1">
      <alignment horizontal="center" vertical="center" wrapText="1"/>
    </xf>
    <xf numFmtId="166" fontId="3" fillId="4" borderId="16" xfId="1" applyNumberFormat="1" applyFont="1" applyFill="1" applyBorder="1" applyAlignment="1">
      <alignment horizontal="center" vertical="center" wrapText="1"/>
    </xf>
    <xf numFmtId="166" fontId="3" fillId="4" borderId="5" xfId="1" applyNumberFormat="1" applyFont="1" applyFill="1" applyBorder="1" applyAlignment="1">
      <alignment horizontal="center" vertical="center" wrapText="1"/>
    </xf>
    <xf numFmtId="166" fontId="3" fillId="9" borderId="4" xfId="1" applyNumberFormat="1" applyFont="1" applyFill="1" applyBorder="1" applyAlignment="1">
      <alignment horizontal="center" vertical="center" wrapText="1"/>
    </xf>
    <xf numFmtId="166" fontId="3" fillId="9" borderId="3" xfId="1" applyNumberFormat="1" applyFont="1" applyFill="1" applyBorder="1" applyAlignment="1">
      <alignment horizontal="center" vertical="center" wrapText="1"/>
    </xf>
    <xf numFmtId="166" fontId="1" fillId="4" borderId="2" xfId="1" applyNumberFormat="1" applyFill="1" applyAlignment="1">
      <alignment horizontal="left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8" fillId="10" borderId="12" xfId="0" applyNumberFormat="1" applyFont="1" applyFill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3" fillId="9" borderId="5" xfId="3" applyNumberFormat="1" applyFont="1" applyFill="1" applyBorder="1">
      <alignment horizontal="center" vertical="center"/>
    </xf>
    <xf numFmtId="0" fontId="2" fillId="0" borderId="0" xfId="0" applyFont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/>
    </xf>
    <xf numFmtId="166" fontId="5" fillId="7" borderId="0" xfId="0" applyNumberFormat="1" applyFont="1" applyFill="1" applyAlignment="1">
      <alignment horizontal="center" vertical="center" wrapText="1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5" xfId="1" applyNumberFormat="1" applyFont="1" applyFill="1" applyBorder="1" applyAlignment="1">
      <alignment horizontal="center" vertical="center" wrapText="1"/>
    </xf>
    <xf numFmtId="166" fontId="5" fillId="8" borderId="0" xfId="0" applyNumberFormat="1" applyFont="1" applyFill="1" applyAlignment="1">
      <alignment horizontal="center" vertical="center" wrapText="1"/>
    </xf>
    <xf numFmtId="166" fontId="3" fillId="9" borderId="6" xfId="1" applyNumberFormat="1" applyFont="1" applyFill="1" applyBorder="1" applyAlignment="1">
      <alignment horizontal="center" vertical="center" wrapText="1"/>
    </xf>
    <xf numFmtId="166" fontId="2" fillId="8" borderId="2" xfId="0" applyNumberFormat="1" applyFont="1" applyFill="1" applyBorder="1" applyAlignment="1">
      <alignment horizontal="center" vertical="center" wrapText="1"/>
    </xf>
    <xf numFmtId="166" fontId="3" fillId="9" borderId="5" xfId="1" applyNumberFormat="1" applyFont="1" applyFill="1" applyBorder="1" applyAlignment="1">
      <alignment horizontal="center" vertical="center" wrapText="1"/>
    </xf>
    <xf numFmtId="168" fontId="3" fillId="9" borderId="8" xfId="3" applyNumberFormat="1" applyFont="1" applyFill="1" applyBorder="1">
      <alignment horizontal="center" vertical="center"/>
    </xf>
    <xf numFmtId="168" fontId="3" fillId="3" borderId="10" xfId="0" applyNumberFormat="1" applyFont="1" applyFill="1" applyBorder="1" applyAlignment="1">
      <alignment horizontal="center" vertical="center"/>
    </xf>
    <xf numFmtId="168" fontId="6" fillId="8" borderId="0" xfId="0" applyNumberFormat="1" applyFont="1" applyFill="1" applyAlignment="1">
      <alignment horizontal="center" vertical="center"/>
    </xf>
    <xf numFmtId="168" fontId="5" fillId="5" borderId="0" xfId="0" applyNumberFormat="1" applyFont="1" applyFill="1" applyAlignment="1">
      <alignment horizontal="center" vertical="center"/>
    </xf>
    <xf numFmtId="168" fontId="6" fillId="7" borderId="0" xfId="0" applyNumberFormat="1" applyFont="1" applyFill="1" applyAlignment="1">
      <alignment horizontal="center" vertical="center"/>
    </xf>
    <xf numFmtId="168" fontId="5" fillId="7" borderId="0" xfId="0" applyNumberFormat="1" applyFont="1" applyFill="1" applyAlignment="1">
      <alignment horizontal="center" vertical="center" wrapText="1"/>
    </xf>
    <xf numFmtId="168" fontId="5" fillId="8" borderId="0" xfId="0" applyNumberFormat="1" applyFont="1" applyFill="1" applyAlignment="1">
      <alignment horizontal="center" vertical="center" wrapText="1"/>
    </xf>
    <xf numFmtId="168" fontId="0" fillId="0" borderId="6" xfId="0" applyNumberFormat="1" applyBorder="1" applyAlignment="1">
      <alignment horizontal="center" vertical="center"/>
    </xf>
    <xf numFmtId="168" fontId="5" fillId="12" borderId="1" xfId="0" applyNumberFormat="1" applyFont="1" applyFill="1" applyBorder="1" applyAlignment="1">
      <alignment horizontal="center" vertical="center"/>
    </xf>
    <xf numFmtId="168" fontId="3" fillId="4" borderId="8" xfId="3" applyNumberFormat="1" applyFont="1" applyFill="1" applyBorder="1">
      <alignment horizontal="center" vertical="center"/>
    </xf>
    <xf numFmtId="168" fontId="3" fillId="6" borderId="8" xfId="3" applyNumberFormat="1" applyFont="1" applyFill="1" applyBorder="1">
      <alignment horizontal="center" vertical="center"/>
    </xf>
    <xf numFmtId="169" fontId="5" fillId="12" borderId="1" xfId="0" applyNumberFormat="1" applyFont="1" applyFill="1" applyBorder="1" applyAlignment="1">
      <alignment horizontal="center" vertical="center"/>
    </xf>
    <xf numFmtId="165" fontId="3" fillId="9" borderId="8" xfId="3" applyNumberFormat="1" applyFont="1" applyFill="1" applyBorder="1">
      <alignment horizontal="center" vertical="center"/>
    </xf>
    <xf numFmtId="165" fontId="3" fillId="4" borderId="8" xfId="3" applyNumberFormat="1" applyFont="1" applyFill="1" applyBorder="1">
      <alignment horizontal="center" vertical="center"/>
    </xf>
    <xf numFmtId="165" fontId="3" fillId="6" borderId="8" xfId="3" applyNumberFormat="1" applyFont="1" applyFill="1" applyBorder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3" fillId="9" borderId="9" xfId="3" applyNumberFormat="1" applyFont="1" applyFill="1" applyBorder="1">
      <alignment horizontal="center" vertical="center"/>
    </xf>
    <xf numFmtId="14" fontId="3" fillId="4" borderId="9" xfId="3" applyNumberFormat="1" applyFont="1" applyFill="1" applyBorder="1">
      <alignment horizontal="center" vertical="center"/>
    </xf>
    <xf numFmtId="14" fontId="3" fillId="6" borderId="9" xfId="3" applyNumberFormat="1" applyFont="1" applyFill="1" applyBorder="1">
      <alignment horizontal="center" vertical="center"/>
    </xf>
    <xf numFmtId="14" fontId="3" fillId="4" borderId="9" xfId="1" applyNumberFormat="1" applyFont="1" applyFill="1" applyBorder="1" applyAlignment="1">
      <alignment horizontal="center" vertical="center" wrapText="1"/>
    </xf>
    <xf numFmtId="14" fontId="5" fillId="3" borderId="10" xfId="0" applyNumberFormat="1" applyFont="1" applyFill="1" applyBorder="1" applyAlignment="1">
      <alignment horizontal="center" vertical="center"/>
    </xf>
    <xf numFmtId="14" fontId="5" fillId="8" borderId="0" xfId="0" applyNumberFormat="1" applyFont="1" applyFill="1" applyAlignment="1">
      <alignment horizontal="center" vertical="center"/>
    </xf>
    <xf numFmtId="14" fontId="5" fillId="9" borderId="8" xfId="3" applyNumberFormat="1" applyFont="1" applyFill="1" applyBorder="1">
      <alignment horizontal="center" vertical="center"/>
    </xf>
    <xf numFmtId="14" fontId="5" fillId="6" borderId="8" xfId="3" applyNumberFormat="1" applyFont="1" applyFill="1" applyBorder="1">
      <alignment horizontal="center" vertical="center"/>
    </xf>
    <xf numFmtId="14" fontId="5" fillId="7" borderId="0" xfId="0" applyNumberFormat="1" applyFont="1" applyFill="1" applyAlignment="1">
      <alignment horizontal="center" vertical="center"/>
    </xf>
    <xf numFmtId="14" fontId="5" fillId="4" borderId="8" xfId="3" applyNumberFormat="1" applyFont="1" applyFill="1" applyBorder="1">
      <alignment horizontal="center" vertical="center"/>
    </xf>
    <xf numFmtId="14" fontId="2" fillId="0" borderId="0" xfId="0" applyNumberFormat="1" applyFont="1"/>
    <xf numFmtId="14" fontId="5" fillId="3" borderId="1" xfId="0" applyNumberFormat="1" applyFont="1" applyFill="1" applyBorder="1" applyAlignment="1">
      <alignment horizontal="center" vertical="center"/>
    </xf>
    <xf numFmtId="165" fontId="5" fillId="8" borderId="0" xfId="0" applyNumberFormat="1" applyFont="1" applyFill="1" applyAlignment="1">
      <alignment horizontal="center" vertical="center"/>
    </xf>
    <xf numFmtId="14" fontId="5" fillId="6" borderId="6" xfId="3" applyNumberFormat="1" applyFont="1" applyFill="1" applyBorder="1">
      <alignment horizontal="center" vertical="center"/>
    </xf>
    <xf numFmtId="14" fontId="5" fillId="4" borderId="9" xfId="3" applyNumberFormat="1" applyFont="1" applyFill="1" applyBorder="1">
      <alignment horizontal="center" vertical="center"/>
    </xf>
    <xf numFmtId="14" fontId="5" fillId="4" borderId="5" xfId="3" applyNumberFormat="1" applyFont="1" applyFill="1" applyBorder="1">
      <alignment horizontal="center" vertical="center"/>
    </xf>
    <xf numFmtId="14" fontId="5" fillId="4" borderId="15" xfId="3" applyNumberFormat="1" applyFont="1" applyFill="1" applyBorder="1">
      <alignment horizontal="center" vertical="center"/>
    </xf>
    <xf numFmtId="14" fontId="5" fillId="9" borderId="9" xfId="3" applyNumberFormat="1" applyFont="1" applyFill="1" applyBorder="1">
      <alignment horizontal="center" vertical="center"/>
    </xf>
    <xf numFmtId="14" fontId="5" fillId="4" borderId="3" xfId="3" applyNumberFormat="1" applyFont="1" applyFill="1" applyBorder="1">
      <alignment horizontal="center" vertical="center"/>
    </xf>
    <xf numFmtId="14" fontId="5" fillId="4" borderId="16" xfId="3" applyNumberFormat="1" applyFont="1" applyFill="1" applyBorder="1">
      <alignment horizontal="center" vertical="center"/>
    </xf>
    <xf numFmtId="14" fontId="5" fillId="9" borderId="15" xfId="3" applyNumberFormat="1" applyFont="1" applyFill="1" applyBorder="1">
      <alignment horizontal="center" vertical="center"/>
    </xf>
    <xf numFmtId="14" fontId="5" fillId="6" borderId="5" xfId="3" applyNumberFormat="1" applyFont="1" applyFill="1" applyBorder="1">
      <alignment horizontal="center" vertical="center"/>
    </xf>
    <xf numFmtId="14" fontId="5" fillId="6" borderId="15" xfId="3" applyNumberFormat="1" applyFont="1" applyFill="1" applyBorder="1">
      <alignment horizontal="center" vertical="center"/>
    </xf>
    <xf numFmtId="14" fontId="5" fillId="9" borderId="5" xfId="3" applyNumberFormat="1" applyFont="1" applyFill="1" applyBorder="1">
      <alignment horizontal="center" vertical="center"/>
    </xf>
    <xf numFmtId="14" fontId="5" fillId="4" borderId="8" xfId="1" applyNumberFormat="1" applyFont="1" applyFill="1" applyBorder="1" applyAlignment="1">
      <alignment horizontal="center" vertical="center" wrapText="1"/>
    </xf>
    <xf numFmtId="14" fontId="5" fillId="9" borderId="8" xfId="1" applyNumberFormat="1" applyFont="1" applyFill="1" applyBorder="1" applyAlignment="1">
      <alignment horizontal="center" vertical="center" wrapText="1"/>
    </xf>
    <xf numFmtId="14" fontId="5" fillId="4" borderId="5" xfId="1" applyNumberFormat="1" applyFont="1" applyFill="1" applyBorder="1" applyAlignment="1">
      <alignment horizontal="center" vertical="center" wrapText="1"/>
    </xf>
    <xf numFmtId="14" fontId="5" fillId="9" borderId="5" xfId="1" applyNumberFormat="1" applyFont="1" applyFill="1" applyBorder="1" applyAlignment="1">
      <alignment horizontal="center" vertical="center" wrapText="1"/>
    </xf>
    <xf numFmtId="14" fontId="5" fillId="6" borderId="9" xfId="3" applyNumberFormat="1" applyFont="1" applyFill="1" applyBorder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13" borderId="0" xfId="0" applyFill="1"/>
    <xf numFmtId="11" fontId="3" fillId="4" borderId="5" xfId="3" applyNumberFormat="1" applyFont="1" applyFill="1" applyBorder="1">
      <alignment horizontal="center" vertical="center"/>
    </xf>
    <xf numFmtId="0" fontId="5" fillId="14" borderId="1" xfId="0" applyFont="1" applyFill="1" applyBorder="1" applyAlignment="1">
      <alignment horizontal="center" vertical="center" wrapText="1"/>
    </xf>
    <xf numFmtId="166" fontId="5" fillId="14" borderId="1" xfId="0" applyNumberFormat="1" applyFont="1" applyFill="1" applyBorder="1" applyAlignment="1">
      <alignment horizontal="center" vertical="center"/>
    </xf>
    <xf numFmtId="11" fontId="3" fillId="15" borderId="5" xfId="3" applyNumberFormat="1" applyFont="1" applyFill="1" applyBorder="1" applyAlignment="1">
      <alignment horizontal="center" vertical="center" wrapText="1"/>
    </xf>
    <xf numFmtId="0" fontId="3" fillId="15" borderId="15" xfId="3" applyNumberFormat="1" applyFont="1" applyFill="1" applyBorder="1" applyAlignment="1">
      <alignment horizontal="center" vertical="center" wrapText="1"/>
    </xf>
    <xf numFmtId="0" fontId="3" fillId="15" borderId="6" xfId="3" applyNumberFormat="1" applyFont="1" applyFill="1" applyBorder="1">
      <alignment horizontal="center" vertical="center"/>
    </xf>
    <xf numFmtId="14" fontId="3" fillId="15" borderId="5" xfId="1" applyNumberFormat="1" applyFont="1" applyFill="1" applyBorder="1" applyAlignment="1">
      <alignment horizontal="center" vertical="center" wrapText="1"/>
    </xf>
    <xf numFmtId="0" fontId="3" fillId="15" borderId="6" xfId="1" applyFont="1" applyFill="1" applyBorder="1" applyAlignment="1">
      <alignment horizontal="center" vertical="center" wrapText="1"/>
    </xf>
    <xf numFmtId="0" fontId="3" fillId="15" borderId="5" xfId="3" applyNumberFormat="1" applyFont="1" applyFill="1" applyBorder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167" fontId="4" fillId="11" borderId="13" xfId="0" applyNumberFormat="1" applyFont="1" applyFill="1" applyBorder="1" applyAlignment="1">
      <alignment horizontal="center" vertical="center"/>
    </xf>
  </cellXfs>
  <cellStyles count="4">
    <cellStyle name="Date" xfId="3" xr:uid="{6AAF5869-A724-4B79-BC3A-4A00640F0DB0}"/>
    <cellStyle name="Nom" xfId="2" xr:uid="{16CC060F-80A1-45C0-9896-E802857E4448}"/>
    <cellStyle name="Normal" xfId="0" builtinId="0"/>
    <cellStyle name="Tâche" xfId="1" xr:uid="{83161D8F-2C2A-4BE4-8745-0E151ED2489E}"/>
  </cellStyles>
  <dxfs count="0"/>
  <tableStyles count="0" defaultTableStyle="TableStyleMedium2" defaultPivotStyle="PivotStyleLight16"/>
  <colors>
    <mruColors>
      <color rgb="FFD3B0F6"/>
      <color rgb="FFFFD1FF"/>
      <color rgb="FFFFB3FF"/>
      <color rgb="FFECC5FF"/>
      <color rgb="FFE9BDFF"/>
      <color rgb="FFFFE7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DI79"/>
  <sheetViews>
    <sheetView tabSelected="1" zoomScale="58" zoomScaleNormal="70" workbookViewId="0">
      <selection activeCell="O79" sqref="O79"/>
    </sheetView>
  </sheetViews>
  <sheetFormatPr baseColWidth="10" defaultColWidth="9" defaultRowHeight="14.25" x14ac:dyDescent="0.45"/>
  <cols>
    <col min="1" max="1" width="11.46484375" style="32" customWidth="1"/>
    <col min="2" max="2" width="62.796875" style="1" customWidth="1"/>
    <col min="3" max="3" width="17" style="11" customWidth="1"/>
    <col min="4" max="4" width="18.796875" style="174" customWidth="1"/>
    <col min="5" max="5" width="17" style="13" customWidth="1"/>
    <col min="6" max="6" width="17" style="193" customWidth="1"/>
    <col min="7" max="7" width="18.796875" style="12" customWidth="1"/>
    <col min="8" max="8" width="17" style="17" customWidth="1"/>
    <col min="9" max="9" width="17" style="42" customWidth="1"/>
    <col min="10" max="10" width="22.796875" style="17" customWidth="1"/>
    <col min="11" max="11" width="18" style="42" bestFit="1" customWidth="1"/>
    <col min="12" max="12" width="19" style="42" bestFit="1" customWidth="1"/>
    <col min="13" max="13" width="22.53125" style="42" bestFit="1" customWidth="1"/>
    <col min="14" max="14" width="16.19921875" style="154" bestFit="1" customWidth="1"/>
    <col min="15" max="15" width="17.265625" bestFit="1" customWidth="1"/>
  </cols>
  <sheetData>
    <row r="1" spans="1:15" ht="92.25" thickBot="1" x14ac:dyDescent="0.5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</row>
    <row r="2" spans="1:15" s="22" customFormat="1" ht="18.399999999999999" thickBot="1" x14ac:dyDescent="0.5">
      <c r="A2" s="19" t="s">
        <v>1</v>
      </c>
      <c r="B2" s="19" t="s">
        <v>2</v>
      </c>
      <c r="C2" s="18" t="s">
        <v>3</v>
      </c>
      <c r="D2" s="168" t="s">
        <v>4</v>
      </c>
      <c r="E2" s="163" t="s">
        <v>5</v>
      </c>
      <c r="F2" s="175" t="s">
        <v>6</v>
      </c>
      <c r="G2" s="163" t="s">
        <v>7</v>
      </c>
      <c r="H2" s="162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148" t="s">
        <v>14</v>
      </c>
      <c r="O2" s="20" t="s">
        <v>15</v>
      </c>
    </row>
    <row r="3" spans="1:15" s="22" customFormat="1" ht="28.5" customHeight="1" x14ac:dyDescent="0.45">
      <c r="A3" s="97"/>
      <c r="B3" s="98" t="s">
        <v>16</v>
      </c>
      <c r="C3" s="102"/>
      <c r="D3" s="169"/>
      <c r="E3" s="103"/>
      <c r="F3" s="176"/>
      <c r="G3" s="103"/>
      <c r="H3" s="104"/>
      <c r="I3" s="105"/>
      <c r="J3" s="104"/>
      <c r="K3" s="105"/>
      <c r="L3" s="105"/>
      <c r="M3" s="105"/>
      <c r="N3" s="149"/>
      <c r="O3" s="105"/>
    </row>
    <row r="4" spans="1:15" ht="28.5" customHeight="1" thickBot="1" x14ac:dyDescent="0.5">
      <c r="A4" s="84">
        <v>0</v>
      </c>
      <c r="B4" s="85" t="s">
        <v>17</v>
      </c>
      <c r="C4" s="86">
        <v>45196</v>
      </c>
      <c r="D4" s="170">
        <f>C4+H4</f>
        <v>45196</v>
      </c>
      <c r="E4" s="164">
        <f>C4+G4</f>
        <v>45217</v>
      </c>
      <c r="F4" s="170">
        <v>45217</v>
      </c>
      <c r="G4" s="159">
        <v>21</v>
      </c>
      <c r="H4" s="159">
        <f>F4-E4</f>
        <v>0</v>
      </c>
      <c r="I4" s="88"/>
      <c r="J4" s="88" t="s">
        <v>18</v>
      </c>
      <c r="K4" s="87">
        <v>80</v>
      </c>
      <c r="L4" s="87">
        <v>80</v>
      </c>
      <c r="M4" s="87">
        <v>80</v>
      </c>
      <c r="N4" s="147">
        <f>(K4+L4+4*M4) / 6</f>
        <v>80</v>
      </c>
      <c r="O4" s="118">
        <f>SUMIF(Pamela!$A$3:$A$115,Planification!A4,Pamela!$C$3:$C$115) + SUMIF(Florian!$A$3:$A$110,Planification!A4,Florian!$C$3:$C$110) + SUMIF(Christophe!$A$3:$A$114,Planification!A4,Christophe!$C$3:$C$114) + SUMIF(Faton!$A$3:$A$112,Planification!A4,Faton!$C$3:$C$112)</f>
        <v>80</v>
      </c>
    </row>
    <row r="5" spans="1:15" ht="28.5" customHeight="1" thickBot="1" x14ac:dyDescent="0.5">
      <c r="A5" s="27"/>
      <c r="B5" s="92" t="s">
        <v>19</v>
      </c>
      <c r="C5" s="93"/>
      <c r="D5" s="93"/>
      <c r="E5" s="93"/>
      <c r="F5" s="93"/>
      <c r="G5" s="93"/>
      <c r="H5" s="93"/>
      <c r="I5" s="96"/>
      <c r="J5" s="95"/>
      <c r="K5" s="139"/>
      <c r="L5" s="139"/>
      <c r="M5" s="139"/>
      <c r="N5" s="150"/>
      <c r="O5" s="109"/>
    </row>
    <row r="6" spans="1:15" ht="28.5" customHeight="1" thickBot="1" x14ac:dyDescent="0.5">
      <c r="A6" s="44">
        <v>1</v>
      </c>
      <c r="B6" s="80" t="s">
        <v>20</v>
      </c>
      <c r="C6" s="81">
        <v>45220</v>
      </c>
      <c r="D6" s="171">
        <f t="shared" ref="D6:D68" si="0">C6+H6</f>
        <v>45233</v>
      </c>
      <c r="E6" s="166">
        <f t="shared" ref="E6:E66" si="1">C6+G6</f>
        <v>45225</v>
      </c>
      <c r="F6" s="177">
        <v>45238</v>
      </c>
      <c r="G6" s="161">
        <v>5</v>
      </c>
      <c r="H6" s="161">
        <f t="shared" ref="H6:H68" si="2">F6-E6</f>
        <v>13</v>
      </c>
      <c r="I6" s="83">
        <v>0</v>
      </c>
      <c r="J6" s="83" t="s">
        <v>21</v>
      </c>
      <c r="K6" s="82">
        <v>4</v>
      </c>
      <c r="L6" s="82">
        <v>7</v>
      </c>
      <c r="M6" s="82">
        <v>5</v>
      </c>
      <c r="N6" s="157">
        <f>(K6+L6+4*M6) / 6</f>
        <v>5.166666666666667</v>
      </c>
      <c r="O6" s="117">
        <f>SUMIF(Pamela!$A$3:$A$115,Planification!A6,Pamela!$C$3:$C$115) + SUMIF(Florian!$A$3:$A$110,Planification!A6,Florian!$C$3:$C$110) + SUMIF(Christophe!$A$3:$A$114,Planification!A6,Christophe!$C$3:$C$114) + SUMIF(Faton!$A$3:$A$112,Planification!A6,Faton!$C$3:$C$112)</f>
        <v>0.5</v>
      </c>
    </row>
    <row r="7" spans="1:15" ht="28.5" customHeight="1" x14ac:dyDescent="0.45">
      <c r="A7" s="52"/>
      <c r="B7" s="53" t="s">
        <v>22</v>
      </c>
      <c r="C7" s="106"/>
      <c r="D7" s="172"/>
      <c r="E7" s="106"/>
      <c r="F7" s="172"/>
      <c r="G7" s="106"/>
      <c r="H7" s="106"/>
      <c r="I7" s="108"/>
      <c r="J7" s="108"/>
      <c r="K7" s="107"/>
      <c r="L7" s="107"/>
      <c r="M7" s="107"/>
      <c r="N7" s="151"/>
      <c r="O7" s="108"/>
    </row>
    <row r="8" spans="1:15" ht="28.5" customHeight="1" thickBot="1" x14ac:dyDescent="0.5">
      <c r="A8" s="47">
        <v>2</v>
      </c>
      <c r="B8" s="48" t="s">
        <v>23</v>
      </c>
      <c r="C8" s="89">
        <v>45236</v>
      </c>
      <c r="D8" s="173">
        <f t="shared" si="0"/>
        <v>45236</v>
      </c>
      <c r="E8" s="165">
        <f t="shared" si="1"/>
        <v>45236</v>
      </c>
      <c r="F8" s="178">
        <v>45236</v>
      </c>
      <c r="G8" s="160">
        <v>0</v>
      </c>
      <c r="H8" s="160">
        <f>F8-E8</f>
        <v>0</v>
      </c>
      <c r="I8" s="90"/>
      <c r="J8" s="90" t="s">
        <v>18</v>
      </c>
      <c r="K8" s="50">
        <v>1</v>
      </c>
      <c r="L8" s="50">
        <v>1</v>
      </c>
      <c r="M8" s="50">
        <v>1</v>
      </c>
      <c r="N8" s="156">
        <f t="shared" ref="N8:N68" si="3">(K8+L8+4*M8) / 6</f>
        <v>1</v>
      </c>
      <c r="O8" s="114">
        <f>SUMIF(Pamela!$A$3:$A$115,Planification!A8,Pamela!$C$3:$C$115) + SUMIF(Florian!$A$3:$A$110,Planification!A8,Florian!$C$3:$C$110) + SUMIF(Christophe!$A$3:$A$114,Planification!A8,Christophe!$C$3:$C$114) + SUMIF(Faton!$A$3:$A$112,Planification!A8,Faton!$C$3:$C$112)</f>
        <v>1</v>
      </c>
    </row>
    <row r="9" spans="1:15" ht="28.5" customHeight="1" thickBot="1" x14ac:dyDescent="0.5">
      <c r="A9" s="29">
        <v>3</v>
      </c>
      <c r="B9" s="3" t="s">
        <v>24</v>
      </c>
      <c r="C9" s="7">
        <v>45241</v>
      </c>
      <c r="D9" s="173">
        <f t="shared" si="0"/>
        <v>45276</v>
      </c>
      <c r="E9" s="165">
        <f t="shared" si="1"/>
        <v>45247</v>
      </c>
      <c r="F9" s="179">
        <v>45282</v>
      </c>
      <c r="G9" s="160">
        <v>6</v>
      </c>
      <c r="H9" s="160">
        <f t="shared" si="2"/>
        <v>35</v>
      </c>
      <c r="I9" s="24">
        <v>2</v>
      </c>
      <c r="J9" s="24" t="s">
        <v>25</v>
      </c>
      <c r="K9" s="15">
        <v>15</v>
      </c>
      <c r="L9" s="15">
        <v>35</v>
      </c>
      <c r="M9" s="15">
        <v>32</v>
      </c>
      <c r="N9" s="156">
        <f t="shared" si="3"/>
        <v>29.666666666666668</v>
      </c>
      <c r="O9" s="115">
        <f>SUMIF(Pamela!$A$3:$A$115,Planification!A9,Pamela!$C$3:$C$115) + SUMIF(Florian!$A$3:$A$110,Planification!A9,Florian!$C$3:$C$110) + SUMIF(Christophe!$A$3:$A$114,Planification!A9,Christophe!$C$3:$C$114) + SUMIF(Faton!$A$3:$A$112,Planification!A9,Faton!$C$3:$C$112)</f>
        <v>24</v>
      </c>
    </row>
    <row r="10" spans="1:15" ht="28.5" customHeight="1" thickBot="1" x14ac:dyDescent="0.5">
      <c r="A10" s="60">
        <v>4</v>
      </c>
      <c r="B10" s="61" t="s">
        <v>26</v>
      </c>
      <c r="C10" s="68">
        <v>45257</v>
      </c>
      <c r="D10" s="173">
        <f t="shared" si="0"/>
        <v>45293</v>
      </c>
      <c r="E10" s="165">
        <f t="shared" si="1"/>
        <v>45264</v>
      </c>
      <c r="F10" s="180">
        <v>45300</v>
      </c>
      <c r="G10" s="160">
        <v>7</v>
      </c>
      <c r="H10" s="160">
        <f t="shared" si="2"/>
        <v>36</v>
      </c>
      <c r="I10" s="69">
        <v>3</v>
      </c>
      <c r="J10" s="69" t="s">
        <v>25</v>
      </c>
      <c r="K10" s="62">
        <v>8</v>
      </c>
      <c r="L10" s="62">
        <v>20</v>
      </c>
      <c r="M10" s="62">
        <v>15</v>
      </c>
      <c r="N10" s="156">
        <f t="shared" si="3"/>
        <v>14.666666666666666</v>
      </c>
      <c r="O10" s="116">
        <f>SUMIF(Pamela!$A$3:$A$115,Planification!A10,Pamela!$C$3:$C$115) + SUMIF(Florian!$A$3:$A$110,Planification!A10,Florian!$C$3:$C$110) + SUMIF(Christophe!$A$3:$A$114,Planification!A10,Christophe!$C$3:$C$114) + SUMIF(Faton!$A$3:$A$112,Planification!A10,Faton!$C$3:$C$112)</f>
        <v>0</v>
      </c>
    </row>
    <row r="11" spans="1:15" ht="28.5" customHeight="1" x14ac:dyDescent="0.45">
      <c r="A11" s="97"/>
      <c r="B11" s="98" t="s">
        <v>27</v>
      </c>
      <c r="C11" s="102"/>
      <c r="D11" s="169"/>
      <c r="E11" s="102"/>
      <c r="F11" s="169"/>
      <c r="G11" s="102"/>
      <c r="H11" s="102"/>
      <c r="I11" s="105"/>
      <c r="J11" s="105"/>
      <c r="K11" s="104"/>
      <c r="L11" s="104"/>
      <c r="M11" s="104"/>
      <c r="N11" s="149"/>
      <c r="O11" s="105"/>
    </row>
    <row r="12" spans="1:15" ht="28.5" customHeight="1" thickBot="1" x14ac:dyDescent="0.5">
      <c r="A12" s="84">
        <v>5</v>
      </c>
      <c r="B12" s="85" t="s">
        <v>28</v>
      </c>
      <c r="C12" s="86">
        <v>45224</v>
      </c>
      <c r="D12" s="170">
        <f t="shared" si="0"/>
        <v>45231</v>
      </c>
      <c r="E12" s="164">
        <f t="shared" si="1"/>
        <v>45231</v>
      </c>
      <c r="F12" s="181">
        <v>45238</v>
      </c>
      <c r="G12" s="159">
        <v>7</v>
      </c>
      <c r="H12" s="159">
        <f t="shared" si="2"/>
        <v>7</v>
      </c>
      <c r="I12" s="88">
        <v>0</v>
      </c>
      <c r="J12" s="88" t="s">
        <v>29</v>
      </c>
      <c r="K12" s="87">
        <v>5</v>
      </c>
      <c r="L12" s="87">
        <v>12</v>
      </c>
      <c r="M12" s="87">
        <v>10</v>
      </c>
      <c r="N12" s="147">
        <f t="shared" si="3"/>
        <v>9.5</v>
      </c>
      <c r="O12" s="118">
        <f>SUMIF(Pamela!$A$3:$A$115,Planification!A12,Pamela!$C$3:$C$115) + SUMIF(Florian!$A$3:$A$110,Planification!A12,Florian!$C$3:$C$110) + SUMIF(Christophe!$A$3:$A$114,Planification!A12,Christophe!$C$3:$C$114) + SUMIF(Faton!$A$3:$A$112,Planification!A12,Faton!$C$3:$C$112)</f>
        <v>9</v>
      </c>
    </row>
    <row r="13" spans="1:15" ht="28.5" customHeight="1" thickBot="1" x14ac:dyDescent="0.5">
      <c r="A13" s="31">
        <v>6</v>
      </c>
      <c r="B13" s="5" t="s">
        <v>30</v>
      </c>
      <c r="C13" s="86">
        <v>45224</v>
      </c>
      <c r="D13" s="170">
        <f t="shared" si="0"/>
        <v>45231</v>
      </c>
      <c r="E13" s="164">
        <f t="shared" si="1"/>
        <v>45231</v>
      </c>
      <c r="F13" s="181">
        <v>45238</v>
      </c>
      <c r="G13" s="159">
        <v>7</v>
      </c>
      <c r="H13" s="159">
        <f t="shared" si="2"/>
        <v>7</v>
      </c>
      <c r="I13" s="25">
        <v>0</v>
      </c>
      <c r="J13" s="137" t="s">
        <v>31</v>
      </c>
      <c r="K13" s="16">
        <v>12</v>
      </c>
      <c r="L13" s="16">
        <v>17</v>
      </c>
      <c r="M13" s="16">
        <v>14</v>
      </c>
      <c r="N13" s="147">
        <f t="shared" si="3"/>
        <v>14.166666666666666</v>
      </c>
      <c r="O13" s="119">
        <f>SUMIF(Pamela!$A$3:$A$115,Planification!A13,Pamela!$C$3:$C$115) + SUMIF(Florian!$A$3:$A$110,Planification!A13,Florian!$C$3:$C$110) + SUMIF(Christophe!$A$3:$A$114,Planification!A13,Christophe!$C$3:$C$114) + SUMIF(Faton!$A$3:$A$112,Planification!A13,Faton!$C$3:$C$112)</f>
        <v>14</v>
      </c>
    </row>
    <row r="14" spans="1:15" ht="28.5" customHeight="1" x14ac:dyDescent="0.45">
      <c r="A14" s="91"/>
      <c r="B14" s="92" t="s">
        <v>32</v>
      </c>
      <c r="C14" s="93"/>
      <c r="D14" s="93"/>
      <c r="E14" s="93"/>
      <c r="F14" s="93"/>
      <c r="G14" s="93"/>
      <c r="H14" s="93"/>
      <c r="I14" s="96"/>
      <c r="J14" s="95"/>
      <c r="K14" s="139"/>
      <c r="L14" s="139"/>
      <c r="M14" s="139"/>
      <c r="N14" s="150"/>
      <c r="O14" s="96"/>
    </row>
    <row r="15" spans="1:15" ht="28.5" customHeight="1" thickBot="1" x14ac:dyDescent="0.5">
      <c r="A15" s="70">
        <v>7</v>
      </c>
      <c r="B15" s="71" t="s">
        <v>33</v>
      </c>
      <c r="C15" s="72">
        <v>45254</v>
      </c>
      <c r="D15" s="171">
        <f t="shared" si="0"/>
        <v>45292</v>
      </c>
      <c r="E15" s="166">
        <f t="shared" si="1"/>
        <v>45261</v>
      </c>
      <c r="F15" s="171">
        <v>45299</v>
      </c>
      <c r="G15" s="161">
        <v>7</v>
      </c>
      <c r="H15" s="161">
        <f>F15-E15</f>
        <v>38</v>
      </c>
      <c r="I15" s="74"/>
      <c r="J15" s="74" t="s">
        <v>34</v>
      </c>
      <c r="K15" s="73">
        <v>2</v>
      </c>
      <c r="L15" s="73">
        <v>5</v>
      </c>
      <c r="M15" s="73">
        <v>3</v>
      </c>
      <c r="N15" s="157">
        <f t="shared" si="3"/>
        <v>3.1666666666666665</v>
      </c>
      <c r="O15" s="120">
        <f>SUMIF(Pamela!$A$3:$A$115,Planification!A15,Pamela!$C$3:$C$115) + SUMIF(Florian!$A$3:$A$110,Planification!A15,Florian!$C$3:$C$110) + SUMIF(Christophe!$A$3:$A$114,Planification!A15,Christophe!$C$3:$C$114) + SUMIF(Faton!$A$3:$A$112,Planification!A15,Faton!$C$3:$C$112)</f>
        <v>0</v>
      </c>
    </row>
    <row r="16" spans="1:15" ht="28.5" customHeight="1" thickBot="1" x14ac:dyDescent="0.5">
      <c r="A16" s="28">
        <v>8</v>
      </c>
      <c r="B16" s="2" t="s">
        <v>35</v>
      </c>
      <c r="C16" s="6">
        <v>45254</v>
      </c>
      <c r="D16" s="171">
        <f t="shared" si="0"/>
        <v>45292</v>
      </c>
      <c r="E16" s="166">
        <f t="shared" si="1"/>
        <v>45261</v>
      </c>
      <c r="F16" s="171">
        <v>45299</v>
      </c>
      <c r="G16" s="161">
        <v>7</v>
      </c>
      <c r="H16" s="161">
        <f t="shared" si="2"/>
        <v>38</v>
      </c>
      <c r="I16" s="23"/>
      <c r="J16" s="23" t="s">
        <v>34</v>
      </c>
      <c r="K16" s="14">
        <v>2</v>
      </c>
      <c r="L16" s="14">
        <v>5</v>
      </c>
      <c r="M16" s="14">
        <v>3</v>
      </c>
      <c r="N16" s="157">
        <f t="shared" si="3"/>
        <v>3.1666666666666665</v>
      </c>
      <c r="O16" s="121">
        <f>SUMIF(Pamela!$A$3:$A$115,Planification!A16,Pamela!$C$3:$C$115) + SUMIF(Florian!$A$3:$A$110,Planification!A16,Florian!$C$3:$C$110) + SUMIF(Christophe!$A$3:$A$114,Planification!A16,Christophe!$C$3:$C$114) + SUMIF(Faton!$A$3:$A$112,Planification!A16,Faton!$C$3:$C$112)</f>
        <v>2.5</v>
      </c>
    </row>
    <row r="17" spans="1:113" ht="28.5" customHeight="1" thickBot="1" x14ac:dyDescent="0.5">
      <c r="A17" s="28">
        <v>9</v>
      </c>
      <c r="B17" s="2" t="s">
        <v>36</v>
      </c>
      <c r="C17" s="6">
        <v>45254</v>
      </c>
      <c r="D17" s="171">
        <f t="shared" si="0"/>
        <v>45292</v>
      </c>
      <c r="E17" s="166">
        <f t="shared" si="1"/>
        <v>45261</v>
      </c>
      <c r="F17" s="171">
        <v>45299</v>
      </c>
      <c r="G17" s="161">
        <v>7</v>
      </c>
      <c r="H17" s="161">
        <f t="shared" si="2"/>
        <v>38</v>
      </c>
      <c r="I17" s="23"/>
      <c r="J17" s="23" t="s">
        <v>34</v>
      </c>
      <c r="K17" s="14">
        <v>2</v>
      </c>
      <c r="L17" s="14">
        <v>5</v>
      </c>
      <c r="M17" s="14">
        <v>3</v>
      </c>
      <c r="N17" s="157">
        <f t="shared" si="3"/>
        <v>3.1666666666666665</v>
      </c>
      <c r="O17" s="121">
        <f>SUMIF(Pamela!$A$3:$A$115,Planification!A17,Pamela!$C$3:$C$115) + SUMIF(Florian!$A$3:$A$110,Planification!A17,Florian!$C$3:$C$110) + SUMIF(Christophe!$A$3:$A$114,Planification!A17,Christophe!$C$3:$C$114) + SUMIF(Faton!$A$3:$A$112,Planification!A17,Faton!$C$3:$C$112)</f>
        <v>7</v>
      </c>
    </row>
    <row r="18" spans="1:113" ht="28.5" customHeight="1" thickBot="1" x14ac:dyDescent="0.5">
      <c r="A18" s="44">
        <v>10</v>
      </c>
      <c r="B18" s="45" t="s">
        <v>37</v>
      </c>
      <c r="C18" s="64">
        <v>45254</v>
      </c>
      <c r="D18" s="171">
        <f t="shared" si="0"/>
        <v>45292</v>
      </c>
      <c r="E18" s="166">
        <f t="shared" si="1"/>
        <v>45261</v>
      </c>
      <c r="F18" s="171">
        <v>45299</v>
      </c>
      <c r="G18" s="161">
        <v>7</v>
      </c>
      <c r="H18" s="161">
        <f>F18-E18</f>
        <v>38</v>
      </c>
      <c r="I18" s="65"/>
      <c r="J18" s="65" t="s">
        <v>34</v>
      </c>
      <c r="K18" s="46">
        <v>2</v>
      </c>
      <c r="L18" s="46">
        <v>5</v>
      </c>
      <c r="M18" s="46">
        <v>3</v>
      </c>
      <c r="N18" s="157">
        <f t="shared" si="3"/>
        <v>3.1666666666666665</v>
      </c>
      <c r="O18" s="117">
        <f>SUMIF(Pamela!$A$3:$A$115,Planification!A18,Pamela!$C$3:$C$115) + SUMIF(Florian!$A$3:$A$110,Planification!A18,Florian!$C$3:$C$110) + SUMIF(Christophe!$A$3:$A$114,Planification!A18,Christophe!$C$3:$C$114) + SUMIF(Faton!$A$3:$A$112,Planification!A18,Faton!$C$3:$C$112)</f>
        <v>2</v>
      </c>
    </row>
    <row r="19" spans="1:113" ht="28.5" customHeight="1" x14ac:dyDescent="0.45">
      <c r="A19" s="52"/>
      <c r="B19" s="53" t="s">
        <v>38</v>
      </c>
      <c r="C19" s="106"/>
      <c r="D19" s="172"/>
      <c r="E19" s="106"/>
      <c r="F19" s="172"/>
      <c r="G19" s="106"/>
      <c r="H19" s="106"/>
      <c r="I19" s="108"/>
      <c r="J19" s="108"/>
      <c r="K19" s="107"/>
      <c r="L19" s="107"/>
      <c r="M19" s="107"/>
      <c r="N19" s="151"/>
      <c r="O19" s="108"/>
    </row>
    <row r="20" spans="1:113" ht="28.5" customHeight="1" thickBot="1" x14ac:dyDescent="0.5">
      <c r="A20" s="47">
        <v>11</v>
      </c>
      <c r="B20" s="48" t="s">
        <v>39</v>
      </c>
      <c r="C20" s="89">
        <v>45292</v>
      </c>
      <c r="D20" s="173">
        <f>C20+H20</f>
        <v>45321</v>
      </c>
      <c r="E20" s="165">
        <f t="shared" si="1"/>
        <v>45293</v>
      </c>
      <c r="F20" s="178">
        <v>45322</v>
      </c>
      <c r="G20" s="160">
        <v>1</v>
      </c>
      <c r="H20" s="160">
        <f t="shared" si="2"/>
        <v>29</v>
      </c>
      <c r="I20" s="90">
        <v>9</v>
      </c>
      <c r="J20" s="90" t="s">
        <v>40</v>
      </c>
      <c r="K20" s="50">
        <v>2</v>
      </c>
      <c r="L20" s="50">
        <v>8</v>
      </c>
      <c r="M20" s="50">
        <v>4</v>
      </c>
      <c r="N20" s="156">
        <f t="shared" si="3"/>
        <v>4.333333333333333</v>
      </c>
      <c r="O20" s="114">
        <f>SUMIF(Pamela!$A$3:$A$115,Planification!A20,Pamela!$C$3:$C$115) + SUMIF(Florian!$A$3:$A$110,Planification!A20,Florian!$C$3:$C$110) + SUMIF(Christophe!$A$3:$A$114,Planification!A20,Christophe!$C$3:$C$114) + SUMIF(Faton!$A$3:$A$112,Planification!A20,Faton!$C$3:$C$112)</f>
        <v>0</v>
      </c>
    </row>
    <row r="21" spans="1:113" s="194" customFormat="1" ht="28.5" customHeight="1" thickBot="1" x14ac:dyDescent="0.5">
      <c r="A21" s="29">
        <v>12</v>
      </c>
      <c r="B21" s="3" t="s">
        <v>41</v>
      </c>
      <c r="C21" s="7">
        <v>45293</v>
      </c>
      <c r="D21" s="173">
        <f t="shared" si="0"/>
        <v>45327</v>
      </c>
      <c r="E21" s="165">
        <f t="shared" si="1"/>
        <v>45299</v>
      </c>
      <c r="F21" s="182">
        <v>45333</v>
      </c>
      <c r="G21" s="160">
        <v>6</v>
      </c>
      <c r="H21" s="160">
        <f t="shared" si="2"/>
        <v>34</v>
      </c>
      <c r="I21" s="24">
        <v>11</v>
      </c>
      <c r="J21" s="24" t="s">
        <v>42</v>
      </c>
      <c r="K21" s="15">
        <v>8</v>
      </c>
      <c r="L21" s="15">
        <v>15</v>
      </c>
      <c r="M21" s="15">
        <v>12</v>
      </c>
      <c r="N21" s="156">
        <f>(K21+L21+4*M21) / 6</f>
        <v>11.833333333333334</v>
      </c>
      <c r="O21" s="115">
        <f>SUMIF(Pamela!$A$3:$A$115,Planification!A21,Pamela!$C$3:$C$115) + SUMIF(Florian!$A$3:$A$110,Planification!A21,Florian!$C$3:$C$110) + SUMIF(Christophe!$A$3:$A$114,Planification!A21,Christophe!$C$3:$C$114) + SUMIF(Faton!$A$3:$A$112,Planification!A21,Faton!$C$3:$C$112)</f>
        <v>0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</row>
    <row r="22" spans="1:113" s="194" customFormat="1" ht="28.5" customHeight="1" thickBot="1" x14ac:dyDescent="0.5">
      <c r="A22" s="60">
        <v>13</v>
      </c>
      <c r="B22" s="61" t="s">
        <v>43</v>
      </c>
      <c r="C22" s="68">
        <v>45300</v>
      </c>
      <c r="D22" s="173">
        <f t="shared" si="0"/>
        <v>45334</v>
      </c>
      <c r="E22" s="165">
        <f t="shared" si="1"/>
        <v>45306</v>
      </c>
      <c r="F22" s="183">
        <v>45340</v>
      </c>
      <c r="G22" s="160">
        <v>6</v>
      </c>
      <c r="H22" s="160">
        <f t="shared" si="2"/>
        <v>34</v>
      </c>
      <c r="I22" s="69">
        <v>12</v>
      </c>
      <c r="J22" s="69" t="s">
        <v>44</v>
      </c>
      <c r="K22" s="62">
        <v>6</v>
      </c>
      <c r="L22" s="62">
        <v>15</v>
      </c>
      <c r="M22" s="62">
        <v>12</v>
      </c>
      <c r="N22" s="156">
        <f t="shared" si="3"/>
        <v>11.5</v>
      </c>
      <c r="O22" s="116">
        <f>SUMIF(Pamela!$A$3:$A$115,Planification!A22,Pamela!$C$3:$C$115) + SUMIF(Florian!$A$3:$A$110,Planification!A22,Florian!$C$3:$C$110) + SUMIF(Christophe!$A$3:$A$114,Planification!A22,Christophe!$C$3:$C$114) + SUMIF(Faton!$A$3:$A$112,Planification!A22,Faton!$C$3:$C$112)</f>
        <v>0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</row>
    <row r="23" spans="1:113" ht="28.5" customHeight="1" x14ac:dyDescent="0.45">
      <c r="A23" s="97"/>
      <c r="B23" s="98" t="s">
        <v>45</v>
      </c>
      <c r="C23" s="102"/>
      <c r="D23" s="169"/>
      <c r="E23" s="102"/>
      <c r="F23" s="169"/>
      <c r="G23" s="102"/>
      <c r="H23" s="102"/>
      <c r="I23" s="102"/>
      <c r="J23" s="105"/>
      <c r="K23" s="104"/>
      <c r="L23" s="104"/>
      <c r="M23" s="104"/>
      <c r="N23" s="149"/>
      <c r="O23" s="105"/>
    </row>
    <row r="24" spans="1:113" ht="28.5" customHeight="1" thickBot="1" x14ac:dyDescent="0.5">
      <c r="A24" s="84">
        <v>14</v>
      </c>
      <c r="B24" s="85" t="s">
        <v>46</v>
      </c>
      <c r="C24" s="86">
        <v>45292</v>
      </c>
      <c r="D24" s="170">
        <f t="shared" si="0"/>
        <v>45316</v>
      </c>
      <c r="E24" s="164">
        <f t="shared" si="1"/>
        <v>45306</v>
      </c>
      <c r="F24" s="170">
        <v>45330</v>
      </c>
      <c r="G24" s="159">
        <v>14</v>
      </c>
      <c r="H24" s="159">
        <f t="shared" si="2"/>
        <v>24</v>
      </c>
      <c r="I24" s="88">
        <v>8</v>
      </c>
      <c r="J24" s="88" t="s">
        <v>25</v>
      </c>
      <c r="K24" s="87">
        <v>20</v>
      </c>
      <c r="L24" s="87">
        <v>45</v>
      </c>
      <c r="M24" s="87">
        <v>29</v>
      </c>
      <c r="N24" s="147">
        <f t="shared" si="3"/>
        <v>30.166666666666668</v>
      </c>
      <c r="O24" s="118">
        <f>SUMIF(Pamela!$A$3:$A$115,Planification!A24,Pamela!$C$3:$C$115) + SUMIF(Florian!$A$3:$A$110,Planification!A24,Florian!$C$3:$C$110) + SUMIF(Christophe!$A$3:$A$114,Planification!A24,Christophe!$C$3:$C$114) + SUMIF(Faton!$A$3:$A$112,Planification!A24,Faton!$C$3:$C$112)</f>
        <v>15</v>
      </c>
    </row>
    <row r="25" spans="1:113" s="194" customFormat="1" ht="28.5" customHeight="1" thickBot="1" x14ac:dyDescent="0.5">
      <c r="A25" s="57">
        <v>15</v>
      </c>
      <c r="B25" s="58" t="s">
        <v>47</v>
      </c>
      <c r="C25" s="66">
        <v>45306</v>
      </c>
      <c r="D25" s="170">
        <f t="shared" si="0"/>
        <v>45341</v>
      </c>
      <c r="E25" s="164">
        <f t="shared" si="1"/>
        <v>45310</v>
      </c>
      <c r="F25" s="184">
        <v>45345</v>
      </c>
      <c r="G25" s="159">
        <v>4</v>
      </c>
      <c r="H25" s="159">
        <f t="shared" si="2"/>
        <v>35</v>
      </c>
      <c r="I25" s="67" t="s">
        <v>48</v>
      </c>
      <c r="J25" s="67" t="s">
        <v>49</v>
      </c>
      <c r="K25" s="59">
        <v>5</v>
      </c>
      <c r="L25" s="59">
        <v>10</v>
      </c>
      <c r="M25" s="59">
        <v>8</v>
      </c>
      <c r="N25" s="147">
        <f t="shared" si="3"/>
        <v>7.833333333333333</v>
      </c>
      <c r="O25" s="122">
        <f>SUMIF(Pamela!$A$3:$A$115,Planification!A25,Pamela!$C$3:$C$115) + SUMIF(Florian!$A$3:$A$110,Planification!A25,Florian!$C$3:$C$110) + SUMIF(Christophe!$A$3:$A$114,Planification!A25,Christophe!$C$3:$C$114) + SUMIF(Faton!$A$3:$A$112,Planification!A25,Faton!$C$3:$C$112)</f>
        <v>0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</row>
    <row r="26" spans="1:113" ht="28.5" customHeight="1" x14ac:dyDescent="0.45">
      <c r="A26" s="91"/>
      <c r="B26" s="92" t="s">
        <v>50</v>
      </c>
      <c r="C26" s="93"/>
      <c r="D26" s="93"/>
      <c r="E26" s="93"/>
      <c r="F26" s="93"/>
      <c r="G26" s="93"/>
      <c r="H26" s="93"/>
      <c r="I26" s="96"/>
      <c r="J26" s="95"/>
      <c r="K26" s="139"/>
      <c r="L26" s="139"/>
      <c r="M26" s="139"/>
      <c r="N26" s="150"/>
      <c r="O26" s="96"/>
    </row>
    <row r="27" spans="1:113" ht="28.5" customHeight="1" thickBot="1" x14ac:dyDescent="0.5">
      <c r="A27" s="70">
        <v>16</v>
      </c>
      <c r="B27" s="71" t="s">
        <v>51</v>
      </c>
      <c r="C27" s="72">
        <v>45271</v>
      </c>
      <c r="D27" s="171">
        <f t="shared" si="0"/>
        <v>45306</v>
      </c>
      <c r="E27" s="166">
        <f t="shared" si="1"/>
        <v>45278</v>
      </c>
      <c r="F27" s="171">
        <v>45313</v>
      </c>
      <c r="G27" s="161">
        <v>7</v>
      </c>
      <c r="H27" s="161">
        <f t="shared" si="2"/>
        <v>35</v>
      </c>
      <c r="I27" s="74"/>
      <c r="J27" s="74" t="s">
        <v>52</v>
      </c>
      <c r="K27" s="73">
        <v>2</v>
      </c>
      <c r="L27" s="73">
        <v>5</v>
      </c>
      <c r="M27" s="73">
        <v>3</v>
      </c>
      <c r="N27" s="157">
        <f t="shared" si="3"/>
        <v>3.1666666666666665</v>
      </c>
      <c r="O27" s="120">
        <f>SUMIF(Pamela!$A$3:$A$115,Planification!A27,Pamela!$C$3:$C$115) + SUMIF(Florian!$A$3:$A$110,Planification!A27,Florian!$C$3:$C$110) + SUMIF(Christophe!$A$3:$A$114,Planification!A27,Christophe!$C$3:$C$114) + SUMIF(Faton!$A$3:$A$112,Planification!A27,Faton!$C$3:$C$112)</f>
        <v>0</v>
      </c>
    </row>
    <row r="28" spans="1:113" ht="28.5" customHeight="1" thickBot="1" x14ac:dyDescent="0.5">
      <c r="A28" s="70">
        <v>17</v>
      </c>
      <c r="B28" s="2" t="s">
        <v>53</v>
      </c>
      <c r="C28" s="6">
        <v>45292</v>
      </c>
      <c r="D28" s="171">
        <f t="shared" si="0"/>
        <v>45323</v>
      </c>
      <c r="E28" s="166">
        <f t="shared" si="1"/>
        <v>45306</v>
      </c>
      <c r="F28" s="185">
        <v>45337</v>
      </c>
      <c r="G28" s="161">
        <v>14</v>
      </c>
      <c r="H28" s="161">
        <f t="shared" si="2"/>
        <v>31</v>
      </c>
      <c r="I28" s="23">
        <v>16</v>
      </c>
      <c r="J28" s="23" t="s">
        <v>42</v>
      </c>
      <c r="K28" s="14">
        <v>4</v>
      </c>
      <c r="L28" s="14">
        <v>15</v>
      </c>
      <c r="M28" s="14">
        <v>10</v>
      </c>
      <c r="N28" s="157">
        <f t="shared" si="3"/>
        <v>9.8333333333333339</v>
      </c>
      <c r="O28" s="121">
        <f>SUMIF(Pamela!$A$3:$A$115,Planification!A28,Pamela!$C$3:$C$115) + SUMIF(Florian!$A$3:$A$110,Planification!A28,Florian!$C$3:$C$110) + SUMIF(Christophe!$A$3:$A$114,Planification!A28,Christophe!$C$3:$C$114) + SUMIF(Faton!$A$3:$A$112,Planification!A28,Faton!$C$3:$C$112)</f>
        <v>0</v>
      </c>
    </row>
    <row r="29" spans="1:113" ht="28.5" customHeight="1" thickBot="1" x14ac:dyDescent="0.5">
      <c r="A29" s="70">
        <v>18</v>
      </c>
      <c r="B29" s="45" t="s">
        <v>54</v>
      </c>
      <c r="C29" s="64">
        <v>45313</v>
      </c>
      <c r="D29" s="171">
        <f t="shared" si="0"/>
        <v>45338</v>
      </c>
      <c r="E29" s="166">
        <f t="shared" si="1"/>
        <v>45315</v>
      </c>
      <c r="F29" s="186">
        <v>45340</v>
      </c>
      <c r="G29" s="161">
        <v>2</v>
      </c>
      <c r="H29" s="161">
        <f>F29-E29</f>
        <v>25</v>
      </c>
      <c r="I29" s="65">
        <v>17</v>
      </c>
      <c r="J29" s="65" t="s">
        <v>25</v>
      </c>
      <c r="K29" s="46">
        <v>2</v>
      </c>
      <c r="L29" s="46">
        <v>8</v>
      </c>
      <c r="M29" s="46">
        <v>4</v>
      </c>
      <c r="N29" s="157">
        <f t="shared" si="3"/>
        <v>4.333333333333333</v>
      </c>
      <c r="O29" s="117">
        <f>SUMIF(Pamela!$A$3:$A$115,Planification!A29,Pamela!$C$3:$C$115) + SUMIF(Florian!$A$3:$A$110,Planification!A29,Florian!$C$3:$C$110) + SUMIF(Christophe!$A$3:$A$114,Planification!A29,Christophe!$C$3:$C$114) + SUMIF(Faton!$A$3:$A$112,Planification!A29,Faton!$C$3:$C$112)</f>
        <v>0</v>
      </c>
    </row>
    <row r="30" spans="1:113" ht="28.5" customHeight="1" x14ac:dyDescent="0.45">
      <c r="A30" s="52"/>
      <c r="B30" s="53" t="s">
        <v>55</v>
      </c>
      <c r="C30" s="106"/>
      <c r="D30" s="172"/>
      <c r="E30" s="106"/>
      <c r="F30" s="172"/>
      <c r="G30" s="106"/>
      <c r="H30" s="106"/>
      <c r="I30" s="108"/>
      <c r="J30" s="108"/>
      <c r="K30" s="107"/>
      <c r="L30" s="107"/>
      <c r="M30" s="107"/>
      <c r="N30" s="151"/>
      <c r="O30" s="108"/>
    </row>
    <row r="31" spans="1:113" ht="28.5" customHeight="1" thickBot="1" x14ac:dyDescent="0.5">
      <c r="A31" s="47">
        <v>19</v>
      </c>
      <c r="B31" s="48" t="s">
        <v>56</v>
      </c>
      <c r="C31" s="89">
        <v>45313</v>
      </c>
      <c r="D31" s="173">
        <f t="shared" si="0"/>
        <v>45353</v>
      </c>
      <c r="E31" s="165">
        <f t="shared" si="1"/>
        <v>45328</v>
      </c>
      <c r="F31" s="173">
        <v>45368</v>
      </c>
      <c r="G31" s="160">
        <v>15</v>
      </c>
      <c r="H31" s="160">
        <f>F31-E31</f>
        <v>40</v>
      </c>
      <c r="I31" s="90" t="s">
        <v>57</v>
      </c>
      <c r="J31" s="90" t="s">
        <v>21</v>
      </c>
      <c r="K31" s="50">
        <v>10</v>
      </c>
      <c r="L31" s="50">
        <v>25</v>
      </c>
      <c r="M31" s="50">
        <v>14</v>
      </c>
      <c r="N31" s="156">
        <f t="shared" si="3"/>
        <v>15.166666666666666</v>
      </c>
      <c r="O31" s="114">
        <f>SUMIF(Pamela!$A$3:$A$115,Planification!A31,Pamela!$C$3:$C$115) + SUMIF(Florian!$A$3:$A$110,Planification!A31,Florian!$C$3:$C$110) + SUMIF(Christophe!$A$3:$A$114,Planification!A31,Christophe!$C$3:$C$114) + SUMIF(Faton!$A$3:$A$112,Planification!A31,Faton!$C$3:$C$112)</f>
        <v>0</v>
      </c>
    </row>
    <row r="32" spans="1:113" s="194" customFormat="1" ht="28.5" customHeight="1" thickBot="1" x14ac:dyDescent="0.5">
      <c r="A32" s="47">
        <v>20</v>
      </c>
      <c r="B32" s="3" t="s">
        <v>58</v>
      </c>
      <c r="C32" s="89">
        <v>45313</v>
      </c>
      <c r="D32" s="173">
        <f t="shared" si="0"/>
        <v>45346</v>
      </c>
      <c r="E32" s="165">
        <f t="shared" si="1"/>
        <v>45323</v>
      </c>
      <c r="F32" s="179">
        <v>45356</v>
      </c>
      <c r="G32" s="160">
        <v>10</v>
      </c>
      <c r="H32" s="160">
        <f t="shared" si="2"/>
        <v>33</v>
      </c>
      <c r="I32" s="195" t="s">
        <v>57</v>
      </c>
      <c r="J32" s="24" t="s">
        <v>40</v>
      </c>
      <c r="K32" s="15">
        <v>8</v>
      </c>
      <c r="L32" s="15">
        <v>18</v>
      </c>
      <c r="M32" s="15">
        <v>16</v>
      </c>
      <c r="N32" s="156">
        <f t="shared" si="3"/>
        <v>15</v>
      </c>
      <c r="O32" s="115">
        <f>SUMIF(Pamela!$A$3:$A$115,Planification!A32,Pamela!$C$3:$C$115) + SUMIF(Florian!$A$3:$A$110,Planification!A32,Florian!$C$3:$C$110) + SUMIF(Christophe!$A$3:$A$114,Planification!A32,Christophe!$C$3:$C$114) + SUMIF(Faton!$A$3:$A$112,Planification!A32,Faton!$C$3:$C$112)</f>
        <v>0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</row>
    <row r="33" spans="1:113" s="194" customFormat="1" ht="28.5" customHeight="1" thickBot="1" x14ac:dyDescent="0.5">
      <c r="A33" s="29">
        <v>21</v>
      </c>
      <c r="B33" s="3" t="s">
        <v>59</v>
      </c>
      <c r="C33" s="7">
        <v>45318</v>
      </c>
      <c r="D33" s="173">
        <f t="shared" si="0"/>
        <v>45358</v>
      </c>
      <c r="E33" s="165">
        <f>C33+G33</f>
        <v>45328</v>
      </c>
      <c r="F33" s="173">
        <v>45368</v>
      </c>
      <c r="G33" s="160">
        <v>10</v>
      </c>
      <c r="H33" s="160">
        <f t="shared" si="2"/>
        <v>40</v>
      </c>
      <c r="I33" s="24">
        <v>20</v>
      </c>
      <c r="J33" s="24" t="s">
        <v>40</v>
      </c>
      <c r="K33" s="15">
        <v>8</v>
      </c>
      <c r="L33" s="15">
        <v>20</v>
      </c>
      <c r="M33" s="15">
        <v>15</v>
      </c>
      <c r="N33" s="156">
        <f t="shared" si="3"/>
        <v>14.666666666666666</v>
      </c>
      <c r="O33" s="115">
        <f>SUMIF(Pamela!$A$3:$A$115,Planification!A33,Pamela!$C$3:$C$115) + SUMIF(Florian!$A$3:$A$110,Planification!A33,Florian!$C$3:$C$110) + SUMIF(Christophe!$A$3:$A$114,Planification!A33,Christophe!$C$3:$C$114) + SUMIF(Faton!$A$3:$A$112,Planification!A33,Faton!$C$3:$C$112)</f>
        <v>0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</row>
    <row r="34" spans="1:113" ht="28.5" customHeight="1" thickBot="1" x14ac:dyDescent="0.5">
      <c r="A34" s="29">
        <v>22</v>
      </c>
      <c r="B34" s="3" t="s">
        <v>60</v>
      </c>
      <c r="C34" s="89">
        <v>45313</v>
      </c>
      <c r="D34" s="173">
        <f t="shared" si="0"/>
        <v>45353</v>
      </c>
      <c r="E34" s="165">
        <f t="shared" si="1"/>
        <v>45328</v>
      </c>
      <c r="F34" s="173">
        <v>45368</v>
      </c>
      <c r="G34" s="160">
        <v>15</v>
      </c>
      <c r="H34" s="160">
        <f t="shared" si="2"/>
        <v>40</v>
      </c>
      <c r="I34" s="24" t="s">
        <v>57</v>
      </c>
      <c r="J34" s="24" t="s">
        <v>34</v>
      </c>
      <c r="K34" s="15">
        <v>14</v>
      </c>
      <c r="L34" s="15">
        <v>30</v>
      </c>
      <c r="M34" s="15">
        <v>19</v>
      </c>
      <c r="N34" s="156">
        <f t="shared" si="3"/>
        <v>20</v>
      </c>
      <c r="O34" s="115">
        <f>SUMIF(Pamela!$A$3:$A$115,Planification!A34,Pamela!$C$3:$C$115) + SUMIF(Florian!$A$3:$A$110,Planification!A34,Florian!$C$3:$C$110) + SUMIF(Christophe!$A$3:$A$114,Planification!A34,Christophe!$C$3:$C$114) + SUMIF(Faton!$A$3:$A$112,Planification!A34,Faton!$C$3:$C$112)</f>
        <v>0</v>
      </c>
    </row>
    <row r="35" spans="1:113" s="194" customFormat="1" ht="28.5" customHeight="1" thickBot="1" x14ac:dyDescent="0.5">
      <c r="A35" s="29">
        <v>23</v>
      </c>
      <c r="B35" s="3" t="s">
        <v>61</v>
      </c>
      <c r="C35" s="89">
        <v>45313</v>
      </c>
      <c r="D35" s="173">
        <f t="shared" si="0"/>
        <v>45346</v>
      </c>
      <c r="E35" s="165">
        <f>C35+G35</f>
        <v>45323</v>
      </c>
      <c r="F35" s="179">
        <v>45356</v>
      </c>
      <c r="G35" s="160">
        <v>10</v>
      </c>
      <c r="H35" s="160">
        <f>F35-E35</f>
        <v>33</v>
      </c>
      <c r="I35" s="24">
        <v>14.15</v>
      </c>
      <c r="J35" s="24" t="s">
        <v>52</v>
      </c>
      <c r="K35" s="15">
        <v>12</v>
      </c>
      <c r="L35" s="15">
        <v>24</v>
      </c>
      <c r="M35" s="15">
        <v>14</v>
      </c>
      <c r="N35" s="156">
        <f t="shared" si="3"/>
        <v>15.333333333333334</v>
      </c>
      <c r="O35" s="115">
        <f>SUMIF(Pamela!$A$3:$A$115,Planification!A35,Pamela!$C$3:$C$115) + SUMIF(Florian!$A$3:$A$110,Planification!A35,Florian!$C$3:$C$110) + SUMIF(Christophe!$A$3:$A$114,Planification!A35,Christophe!$C$3:$C$114) + SUMIF(Faton!$A$3:$A$112,Planification!A35,Faton!$C$3:$C$112)</f>
        <v>0</v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</row>
    <row r="36" spans="1:113" ht="28.5" customHeight="1" thickBot="1" x14ac:dyDescent="0.5">
      <c r="A36" s="29">
        <v>24</v>
      </c>
      <c r="B36" s="3" t="s">
        <v>62</v>
      </c>
      <c r="C36" s="7">
        <v>45318</v>
      </c>
      <c r="D36" s="173">
        <f t="shared" si="0"/>
        <v>45363</v>
      </c>
      <c r="E36" s="165">
        <f t="shared" si="1"/>
        <v>45323</v>
      </c>
      <c r="F36" s="179">
        <v>45368</v>
      </c>
      <c r="G36" s="160">
        <v>5</v>
      </c>
      <c r="H36" s="160">
        <f t="shared" si="2"/>
        <v>45</v>
      </c>
      <c r="I36" s="24">
        <v>23</v>
      </c>
      <c r="J36" s="24" t="s">
        <v>21</v>
      </c>
      <c r="K36" s="15">
        <v>4</v>
      </c>
      <c r="L36" s="15">
        <v>11</v>
      </c>
      <c r="M36" s="15">
        <v>8</v>
      </c>
      <c r="N36" s="156">
        <f t="shared" si="3"/>
        <v>7.833333333333333</v>
      </c>
      <c r="O36" s="115">
        <f>SUMIF(Pamela!$A$3:$A$115,Planification!A36,Pamela!$C$3:$C$115) + SUMIF(Florian!$A$3:$A$110,Planification!A36,Florian!$C$3:$C$110) + SUMIF(Christophe!$A$3:$A$114,Planification!A36,Christophe!$C$3:$C$114) + SUMIF(Faton!$A$3:$A$112,Planification!A36,Faton!$C$3:$C$112)</f>
        <v>0</v>
      </c>
    </row>
    <row r="37" spans="1:113" ht="28.5" customHeight="1" thickBot="1" x14ac:dyDescent="0.5">
      <c r="A37" s="29">
        <v>25</v>
      </c>
      <c r="B37" s="3" t="s">
        <v>63</v>
      </c>
      <c r="C37" s="7">
        <v>45318</v>
      </c>
      <c r="D37" s="173">
        <f t="shared" si="0"/>
        <v>45358</v>
      </c>
      <c r="E37" s="165">
        <f t="shared" si="1"/>
        <v>45328</v>
      </c>
      <c r="F37" s="179">
        <v>45368</v>
      </c>
      <c r="G37" s="160">
        <v>10</v>
      </c>
      <c r="H37" s="160">
        <f t="shared" si="2"/>
        <v>40</v>
      </c>
      <c r="I37" s="24">
        <v>23</v>
      </c>
      <c r="J37" s="24" t="s">
        <v>21</v>
      </c>
      <c r="K37" s="15">
        <v>8</v>
      </c>
      <c r="L37" s="15">
        <v>18</v>
      </c>
      <c r="M37" s="15">
        <v>16</v>
      </c>
      <c r="N37" s="156">
        <f t="shared" si="3"/>
        <v>15</v>
      </c>
      <c r="O37" s="115">
        <f>SUMIF(Pamela!$A$3:$A$115,Planification!A37,Pamela!$C$3:$C$115) + SUMIF(Florian!$A$3:$A$110,Planification!A37,Florian!$C$3:$C$110) + SUMIF(Christophe!$A$3:$A$114,Planification!A37,Christophe!$C$3:$C$114) + SUMIF(Faton!$A$3:$A$112,Planification!A37,Faton!$C$3:$C$112)</f>
        <v>0</v>
      </c>
    </row>
    <row r="38" spans="1:113" ht="28.5" customHeight="1" thickBot="1" x14ac:dyDescent="0.5">
      <c r="A38" s="29">
        <v>26</v>
      </c>
      <c r="B38" s="3" t="s">
        <v>64</v>
      </c>
      <c r="C38" s="7">
        <v>45318</v>
      </c>
      <c r="D38" s="173">
        <f t="shared" si="0"/>
        <v>45358</v>
      </c>
      <c r="E38" s="165">
        <f t="shared" si="1"/>
        <v>45328</v>
      </c>
      <c r="F38" s="179">
        <v>45368</v>
      </c>
      <c r="G38" s="160">
        <v>10</v>
      </c>
      <c r="H38" s="160">
        <f t="shared" si="2"/>
        <v>40</v>
      </c>
      <c r="I38" s="24" t="s">
        <v>65</v>
      </c>
      <c r="J38" s="24" t="s">
        <v>40</v>
      </c>
      <c r="K38" s="15">
        <v>9</v>
      </c>
      <c r="L38" s="15">
        <v>20</v>
      </c>
      <c r="M38" s="15">
        <v>15</v>
      </c>
      <c r="N38" s="156">
        <f t="shared" si="3"/>
        <v>14.833333333333334</v>
      </c>
      <c r="O38" s="115">
        <f>SUMIF(Pamela!$A$3:$A$115,Planification!A38,Pamela!$C$3:$C$115) + SUMIF(Florian!$A$3:$A$110,Planification!A38,Florian!$C$3:$C$110) + SUMIF(Christophe!$A$3:$A$114,Planification!A38,Christophe!$C$3:$C$114) + SUMIF(Faton!$A$3:$A$112,Planification!A38,Faton!$C$3:$C$112)</f>
        <v>0</v>
      </c>
    </row>
    <row r="39" spans="1:113" ht="28.5" customHeight="1" thickBot="1" x14ac:dyDescent="0.5">
      <c r="A39" s="29">
        <v>27</v>
      </c>
      <c r="B39" s="130" t="s">
        <v>66</v>
      </c>
      <c r="C39" s="7">
        <v>45318</v>
      </c>
      <c r="D39" s="173">
        <f t="shared" si="0"/>
        <v>45364</v>
      </c>
      <c r="E39" s="165">
        <f t="shared" si="1"/>
        <v>45322</v>
      </c>
      <c r="F39" s="179">
        <v>45368</v>
      </c>
      <c r="G39" s="160">
        <v>4</v>
      </c>
      <c r="H39" s="160">
        <f t="shared" si="2"/>
        <v>46</v>
      </c>
      <c r="I39" s="24" t="s">
        <v>65</v>
      </c>
      <c r="J39" s="24" t="s">
        <v>34</v>
      </c>
      <c r="K39" s="15">
        <v>3</v>
      </c>
      <c r="L39" s="15">
        <v>9</v>
      </c>
      <c r="M39" s="15">
        <v>6</v>
      </c>
      <c r="N39" s="156">
        <f t="shared" si="3"/>
        <v>6</v>
      </c>
      <c r="O39" s="115">
        <f>SUMIF(Pamela!$A$3:$A$115,Planification!A39,Pamela!$C$3:$C$115) + SUMIF(Florian!$A$3:$A$110,Planification!A39,Florian!$C$3:$C$110) + SUMIF(Christophe!$A$3:$A$114,Planification!A39,Christophe!$C$3:$C$114) + SUMIF(Faton!$A$3:$A$112,Planification!A39,Faton!$C$3:$C$112)</f>
        <v>0</v>
      </c>
    </row>
    <row r="40" spans="1:113" ht="54.4" thickBot="1" x14ac:dyDescent="0.5">
      <c r="A40" s="29">
        <v>28</v>
      </c>
      <c r="B40" s="3" t="s">
        <v>67</v>
      </c>
      <c r="C40" s="7">
        <v>45333</v>
      </c>
      <c r="D40" s="173">
        <f t="shared" si="0"/>
        <v>45363</v>
      </c>
      <c r="E40" s="165">
        <f>C40+G40</f>
        <v>45338</v>
      </c>
      <c r="F40" s="179">
        <v>45368</v>
      </c>
      <c r="G40" s="160">
        <v>5</v>
      </c>
      <c r="H40" s="160">
        <f t="shared" si="2"/>
        <v>30</v>
      </c>
      <c r="I40" s="198" t="s">
        <v>68</v>
      </c>
      <c r="J40" s="24" t="s">
        <v>18</v>
      </c>
      <c r="K40" s="15">
        <v>2</v>
      </c>
      <c r="L40" s="15">
        <v>9</v>
      </c>
      <c r="M40" s="15">
        <v>5</v>
      </c>
      <c r="N40" s="156">
        <f t="shared" si="3"/>
        <v>5.166666666666667</v>
      </c>
      <c r="O40" s="115">
        <f>SUMIF(Pamela!$A$3:$A$115,Planification!A40,Pamela!$C$3:$C$115) + SUMIF(Florian!$A$3:$A$110,Planification!A40,Florian!$C$3:$C$110) + SUMIF(Christophe!$A$3:$A$114,Planification!A40,Christophe!$C$3:$C$114) + SUMIF(Faton!$A$3:$A$112,Planification!A40,Faton!$C$3:$C$112)</f>
        <v>0</v>
      </c>
    </row>
    <row r="41" spans="1:113" ht="28.5" customHeight="1" thickBot="1" x14ac:dyDescent="0.5">
      <c r="A41" s="97"/>
      <c r="B41" s="98" t="s">
        <v>69</v>
      </c>
      <c r="C41" s="102"/>
      <c r="D41" s="169"/>
      <c r="E41" s="102"/>
      <c r="F41" s="169"/>
      <c r="G41" s="102"/>
      <c r="H41" s="102"/>
      <c r="I41" s="105"/>
      <c r="J41" s="105"/>
      <c r="K41" s="104"/>
      <c r="L41" s="104"/>
      <c r="M41" s="104"/>
      <c r="N41" s="149"/>
      <c r="O41" s="105"/>
    </row>
    <row r="42" spans="1:113" s="194" customFormat="1" ht="28.5" customHeight="1" thickBot="1" x14ac:dyDescent="0.5">
      <c r="A42" s="31">
        <v>29</v>
      </c>
      <c r="B42" s="5" t="s">
        <v>70</v>
      </c>
      <c r="C42" s="8">
        <v>45341</v>
      </c>
      <c r="D42" s="170">
        <f t="shared" si="0"/>
        <v>45363</v>
      </c>
      <c r="E42" s="164">
        <f t="shared" si="1"/>
        <v>45361</v>
      </c>
      <c r="F42" s="187">
        <v>45383</v>
      </c>
      <c r="G42" s="159">
        <v>20</v>
      </c>
      <c r="H42" s="159">
        <f t="shared" si="2"/>
        <v>22</v>
      </c>
      <c r="I42" s="25">
        <v>20.23</v>
      </c>
      <c r="J42" s="25" t="s">
        <v>29</v>
      </c>
      <c r="K42" s="16">
        <v>14</v>
      </c>
      <c r="L42" s="16">
        <v>23</v>
      </c>
      <c r="M42" s="16">
        <v>21</v>
      </c>
      <c r="N42" s="147">
        <f t="shared" si="3"/>
        <v>20.166666666666668</v>
      </c>
      <c r="O42" s="119">
        <f>SUMIF(Pamela!$A$3:$A$115,Planification!A42,Pamela!$C$3:$C$115) + SUMIF(Florian!$A$3:$A$110,Planification!A42,Florian!$C$3:$C$110) + SUMIF(Christophe!$A$3:$A$114,Planification!A42,Christophe!$C$3:$C$114) + SUMIF(Faton!$A$3:$A$112,Planification!A42,Faton!$C$3:$C$112)</f>
        <v>0</v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</row>
    <row r="43" spans="1:113" s="194" customFormat="1" ht="28.5" customHeight="1" thickBot="1" x14ac:dyDescent="0.5">
      <c r="A43" s="31">
        <v>30</v>
      </c>
      <c r="B43" s="5" t="s">
        <v>71</v>
      </c>
      <c r="C43" s="8">
        <v>45341</v>
      </c>
      <c r="D43" s="170">
        <f t="shared" si="0"/>
        <v>45363</v>
      </c>
      <c r="E43" s="164">
        <f t="shared" si="1"/>
        <v>45361</v>
      </c>
      <c r="F43" s="187">
        <v>45383</v>
      </c>
      <c r="G43" s="159">
        <v>20</v>
      </c>
      <c r="H43" s="159">
        <f t="shared" si="2"/>
        <v>22</v>
      </c>
      <c r="I43" s="25" t="s">
        <v>65</v>
      </c>
      <c r="J43" s="25" t="s">
        <v>29</v>
      </c>
      <c r="K43" s="16">
        <v>14</v>
      </c>
      <c r="L43" s="16">
        <v>23</v>
      </c>
      <c r="M43" s="16">
        <v>21</v>
      </c>
      <c r="N43" s="147">
        <f t="shared" si="3"/>
        <v>20.166666666666668</v>
      </c>
      <c r="O43" s="119">
        <f>SUMIF(Pamela!$A$3:$A$115,Planification!A43,Pamela!$C$3:$C$115) + SUMIF(Florian!$A$3:$A$110,Planification!A43,Florian!$C$3:$C$110) + SUMIF(Christophe!$A$3:$A$114,Planification!A43,Christophe!$C$3:$C$114) + SUMIF(Faton!$A$3:$A$112,Planification!A43,Faton!$C$3:$C$112)</f>
        <v>0</v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</row>
    <row r="44" spans="1:113" ht="27.75" customHeight="1" thickBot="1" x14ac:dyDescent="0.5">
      <c r="A44" s="31">
        <v>31</v>
      </c>
      <c r="B44" s="5" t="s">
        <v>72</v>
      </c>
      <c r="C44" s="8">
        <v>45363</v>
      </c>
      <c r="D44" s="170">
        <f t="shared" si="0"/>
        <v>45384</v>
      </c>
      <c r="E44" s="164">
        <f t="shared" si="1"/>
        <v>45368</v>
      </c>
      <c r="F44" s="187">
        <v>45389</v>
      </c>
      <c r="G44" s="159">
        <v>5</v>
      </c>
      <c r="H44" s="159">
        <f t="shared" si="2"/>
        <v>21</v>
      </c>
      <c r="I44" s="25">
        <v>30</v>
      </c>
      <c r="J44" s="25" t="s">
        <v>52</v>
      </c>
      <c r="K44" s="16">
        <v>4</v>
      </c>
      <c r="L44" s="16">
        <v>10</v>
      </c>
      <c r="M44" s="16">
        <v>8</v>
      </c>
      <c r="N44" s="147">
        <f t="shared" si="3"/>
        <v>7.666666666666667</v>
      </c>
      <c r="O44" s="119">
        <f>SUMIF(Pamela!$A$3:$A$115,Planification!A44,Pamela!$C$3:$C$115) + SUMIF(Florian!$A$3:$A$110,Planification!A44,Florian!$C$3:$C$110) + SUMIF(Christophe!$A$3:$A$114,Planification!A44,Christophe!$C$3:$C$114) + SUMIF(Faton!$A$3:$A$112,Planification!A44,Faton!$C$3:$C$112)</f>
        <v>0</v>
      </c>
    </row>
    <row r="45" spans="1:113" ht="28.5" customHeight="1" thickBot="1" x14ac:dyDescent="0.5">
      <c r="A45" s="31">
        <v>32</v>
      </c>
      <c r="B45" s="5" t="s">
        <v>73</v>
      </c>
      <c r="C45" s="8">
        <v>45363</v>
      </c>
      <c r="D45" s="170">
        <f t="shared" si="0"/>
        <v>45384</v>
      </c>
      <c r="E45" s="164">
        <f t="shared" si="1"/>
        <v>45368</v>
      </c>
      <c r="F45" s="187">
        <v>45389</v>
      </c>
      <c r="G45" s="159">
        <v>5</v>
      </c>
      <c r="H45" s="159">
        <f t="shared" si="2"/>
        <v>21</v>
      </c>
      <c r="I45" s="25">
        <v>29</v>
      </c>
      <c r="J45" s="25" t="s">
        <v>52</v>
      </c>
      <c r="K45" s="16">
        <v>5</v>
      </c>
      <c r="L45" s="16">
        <v>13</v>
      </c>
      <c r="M45" s="16">
        <v>10</v>
      </c>
      <c r="N45" s="147">
        <f t="shared" si="3"/>
        <v>9.6666666666666661</v>
      </c>
      <c r="O45" s="119">
        <f>SUMIF(Pamela!$A$3:$A$115,Planification!A45,Pamela!$C$3:$C$115) + SUMIF(Florian!$A$3:$A$110,Planification!A45,Florian!$C$3:$C$110) + SUMIF(Christophe!$A$3:$A$114,Planification!A45,Christophe!$C$3:$C$114) + SUMIF(Faton!$A$3:$A$112,Planification!A45,Faton!$C$3:$C$112)</f>
        <v>0</v>
      </c>
    </row>
    <row r="46" spans="1:113" ht="28.5" customHeight="1" thickBot="1" x14ac:dyDescent="0.5">
      <c r="A46" s="31">
        <v>33</v>
      </c>
      <c r="B46" s="5" t="s">
        <v>74</v>
      </c>
      <c r="C46" s="8">
        <v>45341</v>
      </c>
      <c r="D46" s="170">
        <f t="shared" si="0"/>
        <v>45379</v>
      </c>
      <c r="E46" s="164">
        <f t="shared" si="1"/>
        <v>45351</v>
      </c>
      <c r="F46" s="187">
        <v>45389</v>
      </c>
      <c r="G46" s="159">
        <v>10</v>
      </c>
      <c r="H46" s="159">
        <f t="shared" si="2"/>
        <v>38</v>
      </c>
      <c r="I46" s="25" t="s">
        <v>65</v>
      </c>
      <c r="J46" s="25" t="s">
        <v>49</v>
      </c>
      <c r="K46" s="16">
        <v>12</v>
      </c>
      <c r="L46" s="16">
        <v>20</v>
      </c>
      <c r="M46" s="16">
        <v>15</v>
      </c>
      <c r="N46" s="147">
        <f t="shared" si="3"/>
        <v>15.333333333333334</v>
      </c>
      <c r="O46" s="119">
        <f>SUMIF(Pamela!$A$3:$A$115,Planification!A46,Pamela!$C$3:$C$115) + SUMIF(Florian!$A$3:$A$110,Planification!A46,Florian!$C$3:$C$110) + SUMIF(Christophe!$A$3:$A$114,Planification!A46,Christophe!$C$3:$C$114) + SUMIF(Faton!$A$3:$A$112,Planification!A46,Faton!$C$3:$C$112)</f>
        <v>0</v>
      </c>
    </row>
    <row r="47" spans="1:113" ht="36.4" thickBot="1" x14ac:dyDescent="0.5">
      <c r="A47" s="31">
        <v>34</v>
      </c>
      <c r="B47" s="58" t="s">
        <v>75</v>
      </c>
      <c r="C47" s="66">
        <v>45368</v>
      </c>
      <c r="D47" s="170">
        <f t="shared" si="0"/>
        <v>45384</v>
      </c>
      <c r="E47" s="164">
        <f t="shared" si="1"/>
        <v>45373</v>
      </c>
      <c r="F47" s="187">
        <v>45389</v>
      </c>
      <c r="G47" s="159">
        <v>5</v>
      </c>
      <c r="H47" s="159">
        <f t="shared" si="2"/>
        <v>16</v>
      </c>
      <c r="I47" s="199" t="s">
        <v>76</v>
      </c>
      <c r="J47" s="67" t="s">
        <v>18</v>
      </c>
      <c r="K47" s="59">
        <v>2</v>
      </c>
      <c r="L47" s="59">
        <v>8</v>
      </c>
      <c r="M47" s="59">
        <v>5</v>
      </c>
      <c r="N47" s="147">
        <f t="shared" si="3"/>
        <v>5</v>
      </c>
      <c r="O47" s="122">
        <f>SUMIF(Pamela!$A$3:$A$115,Planification!A47,Pamela!$C$3:$C$115) + SUMIF(Florian!$A$3:$A$110,Planification!A47,Florian!$C$3:$C$110) + SUMIF(Christophe!$A$3:$A$114,Planification!A47,Christophe!$C$3:$C$114) + SUMIF(Faton!$A$3:$A$112,Planification!A47,Faton!$C$3:$C$112)</f>
        <v>0</v>
      </c>
    </row>
    <row r="48" spans="1:113" ht="28.5" customHeight="1" thickBot="1" x14ac:dyDescent="0.5">
      <c r="A48" s="91"/>
      <c r="B48" s="92" t="s">
        <v>77</v>
      </c>
      <c r="C48" s="93"/>
      <c r="D48" s="93"/>
      <c r="E48" s="93"/>
      <c r="F48" s="93"/>
      <c r="G48" s="93"/>
      <c r="H48" s="93"/>
      <c r="I48" s="96"/>
      <c r="J48" s="95"/>
      <c r="K48" s="139"/>
      <c r="L48" s="139"/>
      <c r="M48" s="139"/>
      <c r="N48" s="150"/>
      <c r="O48" s="96"/>
    </row>
    <row r="49" spans="1:16" ht="28.5" customHeight="1" thickBot="1" x14ac:dyDescent="0.5">
      <c r="A49" s="79">
        <v>35</v>
      </c>
      <c r="B49" s="80" t="s">
        <v>78</v>
      </c>
      <c r="C49" s="81">
        <v>45368</v>
      </c>
      <c r="D49" s="171">
        <f t="shared" si="0"/>
        <v>45379</v>
      </c>
      <c r="E49" s="166">
        <f t="shared" si="1"/>
        <v>45378</v>
      </c>
      <c r="F49" s="185">
        <v>45389</v>
      </c>
      <c r="G49" s="161">
        <v>10</v>
      </c>
      <c r="H49" s="161">
        <f t="shared" si="2"/>
        <v>11</v>
      </c>
      <c r="I49" s="200" t="s">
        <v>79</v>
      </c>
      <c r="J49" s="83" t="s">
        <v>18</v>
      </c>
      <c r="K49" s="82">
        <v>15</v>
      </c>
      <c r="L49" s="82">
        <v>22</v>
      </c>
      <c r="M49" s="82">
        <v>20</v>
      </c>
      <c r="N49" s="157">
        <f t="shared" si="3"/>
        <v>19.5</v>
      </c>
      <c r="O49" s="123">
        <f>SUMIF(Pamela!$A$3:$A$115,Planification!A49,Pamela!$C$3:$C$115) + SUMIF(Florian!$A$3:$A$110,Planification!A49,Florian!$C$3:$C$110) + SUMIF(Christophe!$A$3:$A$114,Planification!A49,Christophe!$C$3:$C$114) + SUMIF(Faton!$A$3:$A$112,Planification!A49,Faton!$C$3:$C$112)</f>
        <v>0</v>
      </c>
    </row>
    <row r="50" spans="1:16" ht="28.5" customHeight="1" x14ac:dyDescent="0.45">
      <c r="A50" s="52"/>
      <c r="B50" s="53" t="s">
        <v>80</v>
      </c>
      <c r="C50" s="54"/>
      <c r="D50" s="54"/>
      <c r="E50" s="54"/>
      <c r="F50" s="54"/>
      <c r="G50" s="54"/>
      <c r="H50" s="54"/>
      <c r="I50" s="56"/>
      <c r="J50" s="55"/>
      <c r="K50" s="140"/>
      <c r="L50" s="140"/>
      <c r="M50" s="140"/>
      <c r="N50" s="152"/>
      <c r="O50" s="56"/>
    </row>
    <row r="51" spans="1:16" ht="28.5" customHeight="1" thickBot="1" x14ac:dyDescent="0.5">
      <c r="A51" s="47">
        <v>36</v>
      </c>
      <c r="B51" s="48" t="s">
        <v>81</v>
      </c>
      <c r="C51" s="49">
        <v>45376</v>
      </c>
      <c r="D51" s="173">
        <f t="shared" si="0"/>
        <v>45395</v>
      </c>
      <c r="E51" s="165">
        <f t="shared" si="1"/>
        <v>45384</v>
      </c>
      <c r="F51" s="188">
        <v>45403</v>
      </c>
      <c r="G51" s="160">
        <v>8</v>
      </c>
      <c r="H51" s="160">
        <f t="shared" si="2"/>
        <v>19</v>
      </c>
      <c r="I51" s="51">
        <v>22</v>
      </c>
      <c r="J51" s="51" t="s">
        <v>21</v>
      </c>
      <c r="K51" s="141">
        <v>10</v>
      </c>
      <c r="L51" s="141">
        <v>17</v>
      </c>
      <c r="M51" s="141">
        <v>15</v>
      </c>
      <c r="N51" s="156">
        <f t="shared" si="3"/>
        <v>14.5</v>
      </c>
      <c r="O51" s="124">
        <f>SUMIF(Pamela!$A$3:$A$115,Planification!A51,Pamela!$C$3:$C$115) + SUMIF(Florian!$A$3:$A$110,Planification!A51,Florian!$C$3:$C$110) + SUMIF(Christophe!$A$3:$A$114,Planification!A51,Christophe!$C$3:$C$114) + SUMIF(Faton!$A$3:$A$112,Planification!A51,Faton!$C$3:$C$112)</f>
        <v>0</v>
      </c>
    </row>
    <row r="52" spans="1:16" ht="28.5" customHeight="1" thickBot="1" x14ac:dyDescent="0.5">
      <c r="A52" s="29">
        <v>37</v>
      </c>
      <c r="B52" s="48" t="s">
        <v>82</v>
      </c>
      <c r="C52" s="49">
        <v>45376</v>
      </c>
      <c r="D52" s="173">
        <f t="shared" si="0"/>
        <v>45388</v>
      </c>
      <c r="E52" s="165">
        <f t="shared" si="1"/>
        <v>45391</v>
      </c>
      <c r="F52" s="188">
        <v>45403</v>
      </c>
      <c r="G52" s="160">
        <v>15</v>
      </c>
      <c r="H52" s="160">
        <f t="shared" si="2"/>
        <v>12</v>
      </c>
      <c r="I52" s="40">
        <v>22</v>
      </c>
      <c r="J52" s="40" t="s">
        <v>44</v>
      </c>
      <c r="K52" s="127">
        <v>18</v>
      </c>
      <c r="L52" s="127">
        <v>30</v>
      </c>
      <c r="M52" s="127">
        <v>25</v>
      </c>
      <c r="N52" s="156">
        <f t="shared" si="3"/>
        <v>24.666666666666668</v>
      </c>
      <c r="O52" s="125">
        <f>SUMIF(Pamela!$A$3:$A$115,Planification!A52,Pamela!$C$3:$C$115) + SUMIF(Florian!$A$3:$A$110,Planification!A52,Florian!$C$3:$C$110) + SUMIF(Christophe!$A$3:$A$114,Planification!A52,Christophe!$C$3:$C$114) + SUMIF(Faton!$A$3:$A$112,Planification!A52,Faton!$C$3:$C$112)</f>
        <v>0</v>
      </c>
    </row>
    <row r="53" spans="1:16" ht="28.5" customHeight="1" thickBot="1" x14ac:dyDescent="0.5">
      <c r="A53" s="29">
        <v>38</v>
      </c>
      <c r="B53" s="48" t="s">
        <v>83</v>
      </c>
      <c r="C53" s="112">
        <v>45390</v>
      </c>
      <c r="D53" s="173">
        <f t="shared" si="0"/>
        <v>45398</v>
      </c>
      <c r="E53" s="165">
        <f t="shared" si="1"/>
        <v>45395</v>
      </c>
      <c r="F53" s="188">
        <v>45403</v>
      </c>
      <c r="G53" s="160">
        <v>5</v>
      </c>
      <c r="H53" s="160">
        <f t="shared" si="2"/>
        <v>8</v>
      </c>
      <c r="I53" s="63">
        <v>29</v>
      </c>
      <c r="J53" s="63" t="s">
        <v>52</v>
      </c>
      <c r="K53" s="142">
        <v>3</v>
      </c>
      <c r="L53" s="142">
        <v>10</v>
      </c>
      <c r="M53" s="142">
        <v>9</v>
      </c>
      <c r="N53" s="156">
        <f t="shared" si="3"/>
        <v>8.1666666666666661</v>
      </c>
      <c r="O53" s="126">
        <f>SUMIF(Pamela!$A$3:$A$115,Planification!A53,Pamela!$C$3:$C$115) + SUMIF(Florian!$A$3:$A$110,Planification!A53,Florian!$C$3:$C$110) + SUMIF(Christophe!$A$3:$A$114,Planification!A53,Christophe!$C$3:$C$114) + SUMIF(Faton!$A$3:$A$112,Planification!A53,Faton!$C$3:$C$112)</f>
        <v>0.1</v>
      </c>
    </row>
    <row r="54" spans="1:16" ht="28.5" customHeight="1" thickBot="1" x14ac:dyDescent="0.5">
      <c r="A54" s="110">
        <v>39</v>
      </c>
      <c r="B54" s="111" t="s">
        <v>84</v>
      </c>
      <c r="C54" s="9">
        <v>45395</v>
      </c>
      <c r="D54" s="173">
        <f t="shared" si="0"/>
        <v>45398</v>
      </c>
      <c r="E54" s="165">
        <f t="shared" si="1"/>
        <v>45400</v>
      </c>
      <c r="F54" s="188">
        <v>45403</v>
      </c>
      <c r="G54" s="160">
        <v>5</v>
      </c>
      <c r="H54" s="160">
        <f t="shared" si="2"/>
        <v>3</v>
      </c>
      <c r="I54" s="201" t="s">
        <v>85</v>
      </c>
      <c r="J54" s="9" t="s">
        <v>18</v>
      </c>
      <c r="K54" s="142">
        <v>2</v>
      </c>
      <c r="L54" s="142">
        <v>9</v>
      </c>
      <c r="M54" s="142">
        <v>5</v>
      </c>
      <c r="N54" s="156">
        <f t="shared" si="3"/>
        <v>5.166666666666667</v>
      </c>
      <c r="O54" s="127">
        <f>SUMIF(Pamela!$A$3:$A$115,Planification!A54,Pamela!$C$3:$C$115) + SUMIF(Florian!$A$3:$A$110,Planification!A54,Florian!$C$3:$C$110) + SUMIF(Christophe!$A$3:$A$114,Planification!A54,Christophe!$C$3:$C$114) + SUMIF(Faton!$A$3:$A$112,Planification!A54,Faton!$C$3:$C$112)</f>
        <v>0</v>
      </c>
      <c r="P54" s="113"/>
    </row>
    <row r="55" spans="1:16" ht="28.5" customHeight="1" x14ac:dyDescent="0.45">
      <c r="A55" s="97"/>
      <c r="B55" s="98" t="s">
        <v>86</v>
      </c>
      <c r="C55" s="99"/>
      <c r="D55" s="99"/>
      <c r="E55" s="99"/>
      <c r="F55" s="99"/>
      <c r="G55" s="99"/>
      <c r="H55" s="99"/>
      <c r="I55" s="101"/>
      <c r="J55" s="100"/>
      <c r="K55" s="143"/>
      <c r="L55" s="143"/>
      <c r="M55" s="143"/>
      <c r="N55" s="153"/>
      <c r="O55" s="101"/>
    </row>
    <row r="56" spans="1:16" ht="28.5" customHeight="1" thickBot="1" x14ac:dyDescent="0.5">
      <c r="A56" s="75">
        <v>40</v>
      </c>
      <c r="B56" s="76" t="s">
        <v>87</v>
      </c>
      <c r="C56" s="77">
        <v>45395</v>
      </c>
      <c r="D56" s="170">
        <f t="shared" si="0"/>
        <v>45396</v>
      </c>
      <c r="E56" s="164">
        <f t="shared" si="1"/>
        <v>45403</v>
      </c>
      <c r="F56" s="189">
        <v>45404</v>
      </c>
      <c r="G56" s="159">
        <v>8</v>
      </c>
      <c r="H56" s="159">
        <f t="shared" si="2"/>
        <v>1</v>
      </c>
      <c r="I56" s="202" t="s">
        <v>88</v>
      </c>
      <c r="J56" s="78" t="s">
        <v>18</v>
      </c>
      <c r="K56" s="144">
        <v>12</v>
      </c>
      <c r="L56" s="144">
        <v>24</v>
      </c>
      <c r="M56" s="144">
        <v>14</v>
      </c>
      <c r="N56" s="147">
        <f t="shared" si="3"/>
        <v>15.333333333333334</v>
      </c>
      <c r="O56" s="128">
        <f>SUMIF(Pamela!$A$3:$A$115,Planification!A56,Pamela!$C$3:$C$115) + SUMIF(Florian!$A$3:$A$110,Planification!A56,Florian!$C$3:$C$110) + SUMIF(Christophe!$A$3:$A$114,Planification!A56,Christophe!$C$3:$C$114) + SUMIF(Faton!$A$3:$A$112,Planification!A56,Faton!$C$3:$C$112)</f>
        <v>0</v>
      </c>
    </row>
    <row r="57" spans="1:16" ht="28.5" customHeight="1" x14ac:dyDescent="0.45">
      <c r="A57" s="91"/>
      <c r="B57" s="92" t="s">
        <v>89</v>
      </c>
      <c r="C57" s="93"/>
      <c r="D57" s="93"/>
      <c r="E57" s="93"/>
      <c r="F57" s="93"/>
      <c r="G57" s="93"/>
      <c r="H57" s="93"/>
      <c r="I57" s="96"/>
      <c r="J57" s="96"/>
      <c r="K57" s="139"/>
      <c r="L57" s="139"/>
      <c r="M57" s="139"/>
      <c r="N57" s="139"/>
      <c r="O57" s="96"/>
    </row>
    <row r="58" spans="1:16" ht="28.5" customHeight="1" thickBot="1" x14ac:dyDescent="0.5">
      <c r="A58" s="70">
        <v>41</v>
      </c>
      <c r="B58" s="71" t="s">
        <v>90</v>
      </c>
      <c r="C58" s="72">
        <v>45336</v>
      </c>
      <c r="D58" s="171">
        <f t="shared" si="0"/>
        <v>45398</v>
      </c>
      <c r="E58" s="166">
        <f t="shared" si="1"/>
        <v>45341</v>
      </c>
      <c r="F58" s="171">
        <v>45403</v>
      </c>
      <c r="G58" s="161">
        <v>5</v>
      </c>
      <c r="H58" s="161">
        <f t="shared" si="2"/>
        <v>62</v>
      </c>
      <c r="I58" s="74">
        <v>18</v>
      </c>
      <c r="J58" s="74" t="s">
        <v>21</v>
      </c>
      <c r="K58" s="73">
        <v>9</v>
      </c>
      <c r="L58" s="73">
        <v>18</v>
      </c>
      <c r="M58" s="73">
        <v>16</v>
      </c>
      <c r="N58" s="157">
        <f t="shared" si="3"/>
        <v>15.166666666666666</v>
      </c>
      <c r="O58" s="120">
        <f>SUMIF(Pamela!$A$3:$A$115,Planification!A58,Pamela!$C$3:$C$115) + SUMIF(Florian!$A$3:$A$110,Planification!A58,Florian!$C$3:$C$110) + SUMIF(Christophe!$A$3:$A$114,Planification!A58,Christophe!$C$3:$C$114) + SUMIF(Faton!$A$3:$A$112,Planification!A58,Faton!$C$3:$C$112)</f>
        <v>0</v>
      </c>
    </row>
    <row r="59" spans="1:16" ht="28.5" customHeight="1" thickBot="1" x14ac:dyDescent="0.5">
      <c r="A59" s="28">
        <v>42</v>
      </c>
      <c r="B59" s="2" t="s">
        <v>91</v>
      </c>
      <c r="C59" s="6">
        <v>45340</v>
      </c>
      <c r="D59" s="171">
        <f t="shared" si="0"/>
        <v>45366</v>
      </c>
      <c r="E59" s="166">
        <f t="shared" si="1"/>
        <v>45342</v>
      </c>
      <c r="F59" s="185">
        <v>45368</v>
      </c>
      <c r="G59" s="161">
        <v>2</v>
      </c>
      <c r="H59" s="161">
        <f t="shared" si="2"/>
        <v>26</v>
      </c>
      <c r="I59" s="203">
        <v>28</v>
      </c>
      <c r="J59" s="23" t="s">
        <v>34</v>
      </c>
      <c r="K59" s="14">
        <v>8</v>
      </c>
      <c r="L59" s="14">
        <v>14</v>
      </c>
      <c r="M59" s="14">
        <v>10</v>
      </c>
      <c r="N59" s="157">
        <f t="shared" si="3"/>
        <v>10.333333333333334</v>
      </c>
      <c r="O59" s="121">
        <f>SUMIF(Pamela!$A$3:$A$115,Planification!A59,Pamela!$C$3:$C$115) + SUMIF(Florian!$A$3:$A$110,Planification!A59,Florian!$C$3:$C$110) + SUMIF(Christophe!$A$3:$A$114,Planification!A59,Christophe!$C$3:$C$114) + SUMIF(Faton!$A$3:$A$112,Planification!A59,Faton!$C$3:$C$112)</f>
        <v>0</v>
      </c>
    </row>
    <row r="60" spans="1:16" ht="28.5" customHeight="1" thickBot="1" x14ac:dyDescent="0.5">
      <c r="A60" s="28">
        <v>43</v>
      </c>
      <c r="B60" s="2" t="s">
        <v>92</v>
      </c>
      <c r="C60" s="6">
        <v>45381</v>
      </c>
      <c r="D60" s="171">
        <f t="shared" si="0"/>
        <v>45393</v>
      </c>
      <c r="E60" s="166">
        <f t="shared" si="1"/>
        <v>45391</v>
      </c>
      <c r="F60" s="185">
        <v>45403</v>
      </c>
      <c r="G60" s="161">
        <v>10</v>
      </c>
      <c r="H60" s="161">
        <f t="shared" si="2"/>
        <v>12</v>
      </c>
      <c r="I60" s="23">
        <v>28</v>
      </c>
      <c r="J60" s="23" t="s">
        <v>40</v>
      </c>
      <c r="K60" s="14">
        <v>20</v>
      </c>
      <c r="L60" s="14">
        <v>27</v>
      </c>
      <c r="M60" s="14">
        <v>25</v>
      </c>
      <c r="N60" s="157">
        <f t="shared" si="3"/>
        <v>24.5</v>
      </c>
      <c r="O60" s="121">
        <f>SUMIF(Pamela!$A$3:$A$115,Planification!A60,Pamela!$C$3:$C$115) + SUMIF(Florian!$A$3:$A$110,Planification!A60,Florian!$C$3:$C$110) + SUMIF(Christophe!$A$3:$A$114,Planification!A60,Christophe!$C$3:$C$114) + SUMIF(Faton!$A$3:$A$112,Planification!A60,Faton!$C$3:$C$112)</f>
        <v>0</v>
      </c>
    </row>
    <row r="61" spans="1:16" ht="28.5" customHeight="1" thickBot="1" x14ac:dyDescent="0.5">
      <c r="A61" s="70">
        <v>44</v>
      </c>
      <c r="B61" s="2" t="s">
        <v>93</v>
      </c>
      <c r="C61" s="6">
        <v>45375</v>
      </c>
      <c r="D61" s="171">
        <f t="shared" si="0"/>
        <v>45387</v>
      </c>
      <c r="E61" s="166">
        <f t="shared" si="1"/>
        <v>45377</v>
      </c>
      <c r="F61" s="185">
        <v>45389</v>
      </c>
      <c r="G61" s="161">
        <v>2</v>
      </c>
      <c r="H61" s="161">
        <f t="shared" si="2"/>
        <v>12</v>
      </c>
      <c r="I61" s="203">
        <v>34</v>
      </c>
      <c r="J61" s="23" t="s">
        <v>52</v>
      </c>
      <c r="K61" s="14">
        <v>8</v>
      </c>
      <c r="L61" s="14">
        <v>14</v>
      </c>
      <c r="M61" s="14">
        <v>10</v>
      </c>
      <c r="N61" s="157">
        <f t="shared" si="3"/>
        <v>10.333333333333334</v>
      </c>
      <c r="O61" s="121">
        <f>SUMIF(Pamela!$A$3:$A$115,Planification!A61,Pamela!$C$3:$C$115) + SUMIF(Florian!$A$3:$A$110,Planification!A61,Florian!$C$3:$C$110) + SUMIF(Christophe!$A$3:$A$114,Planification!A61,Christophe!$C$3:$C$114) + SUMIF(Faton!$A$3:$A$112,Planification!A61,Faton!$C$3:$C$112)</f>
        <v>0</v>
      </c>
    </row>
    <row r="62" spans="1:16" ht="28.5" customHeight="1" thickBot="1" x14ac:dyDescent="0.5">
      <c r="A62" s="28">
        <v>45</v>
      </c>
      <c r="B62" s="2" t="s">
        <v>94</v>
      </c>
      <c r="C62" s="6">
        <v>45400</v>
      </c>
      <c r="D62" s="171">
        <f t="shared" si="0"/>
        <v>45401</v>
      </c>
      <c r="E62" s="166">
        <f t="shared" si="1"/>
        <v>45402</v>
      </c>
      <c r="F62" s="185">
        <v>45403</v>
      </c>
      <c r="G62" s="161">
        <v>2</v>
      </c>
      <c r="H62" s="161">
        <f t="shared" si="2"/>
        <v>1</v>
      </c>
      <c r="I62" s="203">
        <v>39</v>
      </c>
      <c r="J62" s="23" t="s">
        <v>44</v>
      </c>
      <c r="K62" s="14">
        <v>8</v>
      </c>
      <c r="L62" s="14">
        <v>14</v>
      </c>
      <c r="M62" s="14">
        <v>10</v>
      </c>
      <c r="N62" s="157">
        <f t="shared" si="3"/>
        <v>10.333333333333334</v>
      </c>
      <c r="O62" s="121">
        <f>SUMIF(Pamela!$A$3:$A$115,Planification!A62,Pamela!$C$3:$C$115) + SUMIF(Florian!$A$3:$A$110,Planification!A62,Florian!$C$3:$C$110) + SUMIF(Christophe!$A$3:$A$114,Planification!A62,Christophe!$C$3:$C$114) + SUMIF(Faton!$A$3:$A$112,Planification!A62,Faton!$C$3:$C$112)</f>
        <v>0</v>
      </c>
    </row>
    <row r="63" spans="1:16" ht="28.5" customHeight="1" thickBot="1" x14ac:dyDescent="0.5">
      <c r="A63" s="28">
        <v>46</v>
      </c>
      <c r="B63" s="2" t="s">
        <v>95</v>
      </c>
      <c r="C63" s="6">
        <v>45341</v>
      </c>
      <c r="D63" s="171">
        <f t="shared" si="0"/>
        <v>45393</v>
      </c>
      <c r="E63" s="166">
        <f t="shared" si="1"/>
        <v>45351</v>
      </c>
      <c r="F63" s="185">
        <v>45403</v>
      </c>
      <c r="G63" s="161">
        <v>10</v>
      </c>
      <c r="H63" s="161">
        <f t="shared" si="2"/>
        <v>52</v>
      </c>
      <c r="I63" s="23">
        <v>28</v>
      </c>
      <c r="J63" s="23" t="s">
        <v>18</v>
      </c>
      <c r="K63" s="14">
        <v>27</v>
      </c>
      <c r="L63" s="14">
        <v>35</v>
      </c>
      <c r="M63" s="14">
        <v>30</v>
      </c>
      <c r="N63" s="157">
        <f t="shared" si="3"/>
        <v>30.333333333333332</v>
      </c>
      <c r="O63" s="121">
        <f>SUMIF(Pamela!$A$3:$A$115,Planification!A63,Pamela!$C$3:$C$115) + SUMIF(Florian!$A$3:$A$110,Planification!A63,Florian!$C$3:$C$110) + SUMIF(Christophe!$A$3:$A$114,Planification!A63,Christophe!$C$3:$C$114) + SUMIF(Faton!$A$3:$A$112,Planification!A63,Faton!$C$3:$C$112)</f>
        <v>0</v>
      </c>
    </row>
    <row r="64" spans="1:16" ht="28.5" customHeight="1" x14ac:dyDescent="0.45">
      <c r="A64" s="52"/>
      <c r="B64" s="53" t="s">
        <v>96</v>
      </c>
      <c r="C64" s="54"/>
      <c r="D64" s="54"/>
      <c r="E64" s="54"/>
      <c r="F64" s="54"/>
      <c r="G64" s="54"/>
      <c r="H64" s="54"/>
      <c r="I64" s="56"/>
      <c r="J64" s="56"/>
      <c r="K64" s="140"/>
      <c r="L64" s="140"/>
      <c r="M64" s="140"/>
      <c r="N64" s="140"/>
      <c r="O64" s="56"/>
    </row>
    <row r="65" spans="1:15" ht="28.5" customHeight="1" thickBot="1" x14ac:dyDescent="0.5">
      <c r="A65" s="47">
        <v>47</v>
      </c>
      <c r="B65" s="48" t="s">
        <v>97</v>
      </c>
      <c r="C65" s="49">
        <v>45404</v>
      </c>
      <c r="D65" s="173">
        <f t="shared" si="0"/>
        <v>45406</v>
      </c>
      <c r="E65" s="165">
        <f t="shared" si="1"/>
        <v>45406</v>
      </c>
      <c r="F65" s="188">
        <v>45408</v>
      </c>
      <c r="G65" s="160">
        <v>2</v>
      </c>
      <c r="H65" s="160">
        <f t="shared" si="2"/>
        <v>2</v>
      </c>
      <c r="I65" s="51">
        <v>40</v>
      </c>
      <c r="J65" s="51" t="s">
        <v>98</v>
      </c>
      <c r="K65" s="141">
        <v>2</v>
      </c>
      <c r="L65" s="141">
        <v>6</v>
      </c>
      <c r="M65" s="141">
        <v>4</v>
      </c>
      <c r="N65" s="156">
        <f t="shared" si="3"/>
        <v>4</v>
      </c>
      <c r="O65" s="124">
        <f>SUMIF(Pamela!$A$3:$A$115,Planification!A65,Pamela!$C$3:$C$115) + SUMIF(Florian!$A$3:$A$110,Planification!A65,Florian!$C$3:$C$110) + SUMIF(Christophe!$A$3:$A$114,Planification!A65,Christophe!$C$3:$C$114) + SUMIF(Faton!$A$3:$A$112,Planification!A65,Faton!$C$3:$C$112)</f>
        <v>0</v>
      </c>
    </row>
    <row r="66" spans="1:15" ht="36.4" thickBot="1" x14ac:dyDescent="0.5">
      <c r="A66" s="29">
        <v>48</v>
      </c>
      <c r="B66" s="3" t="s">
        <v>99</v>
      </c>
      <c r="C66" s="9">
        <v>45404</v>
      </c>
      <c r="D66" s="173">
        <f t="shared" si="0"/>
        <v>45405</v>
      </c>
      <c r="E66" s="165">
        <f t="shared" si="1"/>
        <v>45407</v>
      </c>
      <c r="F66" s="190">
        <v>45408</v>
      </c>
      <c r="G66" s="160">
        <v>3</v>
      </c>
      <c r="H66" s="160">
        <f t="shared" si="2"/>
        <v>1</v>
      </c>
      <c r="I66" s="40" t="s">
        <v>100</v>
      </c>
      <c r="J66" s="40" t="s">
        <v>18</v>
      </c>
      <c r="K66" s="127">
        <v>5</v>
      </c>
      <c r="L66" s="127">
        <v>11</v>
      </c>
      <c r="M66" s="127">
        <v>8</v>
      </c>
      <c r="N66" s="156">
        <f t="shared" si="3"/>
        <v>8</v>
      </c>
      <c r="O66" s="125">
        <f>SUMIF(Pamela!$A$3:$A$115,Planification!A66,Pamela!$C$3:$C$115) + SUMIF(Florian!$A$3:$A$110,Planification!A66,Florian!$C$3:$C$110) + SUMIF(Christophe!$A$3:$A$114,Planification!A66,Christophe!$C$3:$C$114) + SUMIF(Faton!$A$3:$A$112,Planification!A66,Faton!$C$3:$C$112)</f>
        <v>0</v>
      </c>
    </row>
    <row r="67" spans="1:15" s="39" customFormat="1" ht="28.5" customHeight="1" thickBot="1" x14ac:dyDescent="0.5">
      <c r="A67" s="30"/>
      <c r="B67" s="4" t="s">
        <v>101</v>
      </c>
      <c r="C67" s="4"/>
      <c r="D67" s="4"/>
      <c r="E67" s="4"/>
      <c r="F67" s="4"/>
      <c r="G67" s="4"/>
      <c r="H67" s="4"/>
      <c r="I67" s="30"/>
      <c r="J67" s="30"/>
      <c r="K67" s="145"/>
      <c r="L67" s="145"/>
      <c r="M67" s="145"/>
      <c r="N67" s="145"/>
      <c r="O67" s="43"/>
    </row>
    <row r="68" spans="1:15" ht="28.5" customHeight="1" thickBot="1" x14ac:dyDescent="0.5">
      <c r="A68" s="31">
        <v>49</v>
      </c>
      <c r="B68" s="5" t="s">
        <v>102</v>
      </c>
      <c r="C68" s="10">
        <v>45411</v>
      </c>
      <c r="D68" s="170">
        <f t="shared" si="0"/>
        <v>45429</v>
      </c>
      <c r="E68" s="164">
        <f>C68+G68</f>
        <v>45425</v>
      </c>
      <c r="F68" s="191">
        <v>45443</v>
      </c>
      <c r="G68" s="159">
        <v>14</v>
      </c>
      <c r="H68" s="159">
        <f t="shared" si="2"/>
        <v>18</v>
      </c>
      <c r="I68" s="41" t="s">
        <v>103</v>
      </c>
      <c r="J68" s="41" t="s">
        <v>18</v>
      </c>
      <c r="K68" s="146">
        <v>14</v>
      </c>
      <c r="L68" s="146">
        <v>30</v>
      </c>
      <c r="M68" s="146">
        <v>19</v>
      </c>
      <c r="N68" s="147">
        <f t="shared" si="3"/>
        <v>20</v>
      </c>
      <c r="O68" s="129">
        <f>SUMIF(Pamela!$A$3:$A$115,Planification!A68,Pamela!$C$3:$C$115) + SUMIF(Florian!$A$3:$A$110,Planification!A68,Florian!$C$3:$C$110) + SUMIF(Christophe!$A$3:$A$114,Planification!A68,Christophe!$C$3:$C$114) + SUMIF(Faton!$A$3:$A$112,Planification!A68,Faton!$C$3:$C$112)</f>
        <v>0</v>
      </c>
    </row>
    <row r="69" spans="1:15" ht="28.5" customHeight="1" x14ac:dyDescent="0.45">
      <c r="A69" s="91"/>
      <c r="B69" s="92" t="s">
        <v>104</v>
      </c>
      <c r="C69" s="93"/>
      <c r="D69" s="93"/>
      <c r="E69" s="93"/>
      <c r="F69" s="93"/>
      <c r="G69" s="93"/>
      <c r="H69" s="94"/>
      <c r="I69" s="96"/>
      <c r="J69" s="95"/>
      <c r="K69" s="139"/>
      <c r="L69" s="139"/>
      <c r="M69" s="139"/>
      <c r="N69" s="139"/>
      <c r="O69" s="96"/>
    </row>
    <row r="70" spans="1:15" ht="28.5" customHeight="1" thickBot="1" x14ac:dyDescent="0.5">
      <c r="A70" s="70">
        <v>50</v>
      </c>
      <c r="B70" s="71" t="s">
        <v>105</v>
      </c>
      <c r="C70" s="72">
        <v>45198</v>
      </c>
      <c r="D70" s="171"/>
      <c r="E70" s="166"/>
      <c r="F70" s="192">
        <v>45077</v>
      </c>
      <c r="G70" s="161"/>
      <c r="H70" s="161"/>
      <c r="I70" s="74"/>
      <c r="J70" s="74" t="s">
        <v>18</v>
      </c>
      <c r="K70" s="73">
        <v>100</v>
      </c>
      <c r="L70" s="73">
        <v>200</v>
      </c>
      <c r="M70" s="73">
        <v>150</v>
      </c>
      <c r="N70" s="157">
        <f t="shared" ref="N70:N78" si="4">(K70+L70+4*M70) / 6</f>
        <v>150</v>
      </c>
      <c r="O70" s="120">
        <f>SUMIF(Pamela!$A$3:$A$115,Planification!A70,Pamela!$C$3:$C$115) + SUMIF(Florian!$A$3:$A$110,Planification!A70,Florian!$C$3:$C$110) + SUMIF(Christophe!$A$3:$A$114,Planification!A70,Christophe!$C$3:$C$114) + SUMIF(Faton!$A$3:$A$112,Planification!A70,Faton!$C$3:$C$112)</f>
        <v>29</v>
      </c>
    </row>
    <row r="71" spans="1:15" ht="28.5" customHeight="1" thickBot="1" x14ac:dyDescent="0.5">
      <c r="A71" s="70">
        <v>51</v>
      </c>
      <c r="B71" s="71" t="s">
        <v>106</v>
      </c>
      <c r="C71" s="72">
        <v>45198</v>
      </c>
      <c r="D71" s="171"/>
      <c r="E71" s="166"/>
      <c r="F71" s="192">
        <v>45077</v>
      </c>
      <c r="G71" s="161"/>
      <c r="H71" s="161"/>
      <c r="I71" s="74"/>
      <c r="J71" s="74" t="s">
        <v>18</v>
      </c>
      <c r="K71" s="73">
        <v>25</v>
      </c>
      <c r="L71" s="73">
        <v>65</v>
      </c>
      <c r="M71" s="73">
        <v>52</v>
      </c>
      <c r="N71" s="157">
        <f t="shared" si="4"/>
        <v>49.666666666666664</v>
      </c>
      <c r="O71" s="120">
        <f>SUMIF(Pamela!$A$3:$A$115,Planification!A71,Pamela!$C$3:$C$115) + SUMIF(Florian!$A$3:$A$110,Planification!A71,Florian!$C$3:$C$110) + SUMIF(Christophe!$A$3:$A$114,Planification!A71,Christophe!$C$3:$C$114) + SUMIF(Faton!$A$3:$A$112,Planification!A71,Faton!$C$3:$C$112)</f>
        <v>0.5</v>
      </c>
    </row>
    <row r="72" spans="1:15" ht="28.5" customHeight="1" thickBot="1" x14ac:dyDescent="0.5">
      <c r="A72" s="70">
        <v>52</v>
      </c>
      <c r="B72" s="71" t="s">
        <v>107</v>
      </c>
      <c r="C72" s="72">
        <v>45198</v>
      </c>
      <c r="D72" s="171"/>
      <c r="E72" s="166"/>
      <c r="F72" s="192">
        <v>45077</v>
      </c>
      <c r="G72" s="161"/>
      <c r="H72" s="161"/>
      <c r="I72" s="83"/>
      <c r="J72" s="74" t="s">
        <v>18</v>
      </c>
      <c r="K72" s="82">
        <v>25</v>
      </c>
      <c r="L72" s="82">
        <v>60</v>
      </c>
      <c r="M72" s="82">
        <v>53</v>
      </c>
      <c r="N72" s="157">
        <f t="shared" si="4"/>
        <v>49.5</v>
      </c>
      <c r="O72" s="123">
        <f>SUMIF(Pamela!$A$3:$A$115,Planification!A72,Pamela!$C$3:$C$115) + SUMIF(Florian!$A$3:$A$110,Planification!A72,Florian!$C$3:$C$110) + SUMIF(Christophe!$A$3:$A$114,Planification!A72,Christophe!$C$3:$C$114) + SUMIF(Faton!$A$3:$A$112,Planification!A72,Faton!$C$3:$C$112)</f>
        <v>4.25</v>
      </c>
    </row>
    <row r="73" spans="1:15" ht="28.5" customHeight="1" x14ac:dyDescent="0.45">
      <c r="A73" s="52"/>
      <c r="B73" s="53" t="s">
        <v>108</v>
      </c>
      <c r="C73" s="54"/>
      <c r="D73" s="54"/>
      <c r="E73" s="54"/>
      <c r="F73" s="54"/>
      <c r="G73" s="54"/>
      <c r="H73" s="55"/>
      <c r="I73" s="56"/>
      <c r="J73" s="56"/>
      <c r="K73" s="140"/>
      <c r="L73" s="140"/>
      <c r="M73" s="140"/>
      <c r="N73" s="140"/>
      <c r="O73" s="56"/>
    </row>
    <row r="74" spans="1:15" ht="28.5" customHeight="1" thickBot="1" x14ac:dyDescent="0.5">
      <c r="A74" s="47">
        <v>53</v>
      </c>
      <c r="B74" s="48" t="s">
        <v>109</v>
      </c>
      <c r="C74" s="49"/>
      <c r="D74" s="173"/>
      <c r="E74" s="167"/>
      <c r="F74" s="188"/>
      <c r="G74" s="160"/>
      <c r="H74" s="160"/>
      <c r="I74" s="51"/>
      <c r="J74" s="51" t="s">
        <v>18</v>
      </c>
      <c r="K74" s="141">
        <v>10</v>
      </c>
      <c r="L74" s="141">
        <v>10</v>
      </c>
      <c r="M74" s="141">
        <v>10</v>
      </c>
      <c r="N74" s="156">
        <f t="shared" si="4"/>
        <v>10</v>
      </c>
      <c r="O74" s="124">
        <f>SUMIF(Pamela!$A$3:$A$115,Planification!A74,Pamela!$C$3:$C$115) + SUMIF(Florian!$A$3:$A$110,Planification!A74,Florian!$C$3:$C$110) + SUMIF(Christophe!$A$3:$A$114,Planification!A74,Christophe!$C$3:$C$114) + SUMIF(Faton!$A$3:$A$112,Planification!A74,Faton!$C$3:$C$112)</f>
        <v>4</v>
      </c>
    </row>
    <row r="75" spans="1:15" ht="28.5" customHeight="1" thickBot="1" x14ac:dyDescent="0.5">
      <c r="A75" s="47">
        <v>54</v>
      </c>
      <c r="B75" s="48" t="s">
        <v>110</v>
      </c>
      <c r="C75" s="49"/>
      <c r="D75" s="173"/>
      <c r="E75" s="167"/>
      <c r="F75" s="188"/>
      <c r="G75" s="160"/>
      <c r="H75" s="160"/>
      <c r="I75" s="51"/>
      <c r="J75" s="51" t="s">
        <v>18</v>
      </c>
      <c r="K75" s="141">
        <v>32</v>
      </c>
      <c r="L75" s="141">
        <v>45</v>
      </c>
      <c r="M75" s="141">
        <v>38</v>
      </c>
      <c r="N75" s="156">
        <f t="shared" si="4"/>
        <v>38.166666666666664</v>
      </c>
      <c r="O75" s="124">
        <f>SUMIF(Pamela!$A$3:$A$115,Planification!A75,Pamela!$C$3:$C$115) + SUMIF(Florian!$A$3:$A$110,Planification!A75,Florian!$C$3:$C$110) + SUMIF(Christophe!$A$3:$A$114,Planification!A75,Christophe!$C$3:$C$114) + SUMIF(Faton!$A$3:$A$112,Planification!A75,Faton!$C$3:$C$112)</f>
        <v>13.25</v>
      </c>
    </row>
    <row r="76" spans="1:15" ht="28.5" customHeight="1" thickBot="1" x14ac:dyDescent="0.5">
      <c r="A76" s="47">
        <v>55</v>
      </c>
      <c r="B76" s="48" t="s">
        <v>111</v>
      </c>
      <c r="C76" s="49"/>
      <c r="D76" s="173"/>
      <c r="E76" s="167"/>
      <c r="F76" s="188"/>
      <c r="G76" s="160"/>
      <c r="H76" s="160"/>
      <c r="I76" s="51"/>
      <c r="J76" s="51" t="s">
        <v>52</v>
      </c>
      <c r="K76" s="141">
        <v>7</v>
      </c>
      <c r="L76" s="141">
        <v>10</v>
      </c>
      <c r="M76" s="141">
        <v>9</v>
      </c>
      <c r="N76" s="156">
        <f t="shared" si="4"/>
        <v>8.8333333333333339</v>
      </c>
      <c r="O76" s="124">
        <f>SUMIF(Pamela!$A$3:$A$115,Planification!A76,Pamela!$C$3:$C$115) + SUMIF(Florian!$A$3:$A$110,Planification!A76,Florian!$C$3:$C$110) + SUMIF(Christophe!$A$3:$A$114,Planification!A76,Christophe!$C$3:$C$114) + SUMIF(Faton!$A$3:$A$112,Planification!A76,Faton!$C$3:$C$112)</f>
        <v>1.7</v>
      </c>
    </row>
    <row r="77" spans="1:15" ht="28.5" customHeight="1" thickBot="1" x14ac:dyDescent="0.5">
      <c r="A77" s="47">
        <v>56</v>
      </c>
      <c r="B77" s="48" t="s">
        <v>112</v>
      </c>
      <c r="C77" s="49"/>
      <c r="D77" s="173"/>
      <c r="E77" s="167"/>
      <c r="F77" s="188"/>
      <c r="G77" s="160"/>
      <c r="H77" s="160"/>
      <c r="I77" s="51"/>
      <c r="J77" s="51" t="s">
        <v>18</v>
      </c>
      <c r="K77" s="141">
        <v>8</v>
      </c>
      <c r="L77" s="141">
        <v>10</v>
      </c>
      <c r="M77" s="141">
        <v>8</v>
      </c>
      <c r="N77" s="156">
        <f t="shared" si="4"/>
        <v>8.3333333333333339</v>
      </c>
      <c r="O77" s="124">
        <f>SUMIF(Pamela!$A$3:$A$115,Planification!A77,Pamela!$C$3:$C$115) + SUMIF(Florian!$A$3:$A$110,Planification!A77,Florian!$C$3:$C$110) + SUMIF(Christophe!$A$3:$A$114,Planification!A77,Christophe!$C$3:$C$114) + SUMIF(Faton!$A$3:$A$112,Planification!A77,Faton!$C$3:$C$112)</f>
        <v>2</v>
      </c>
    </row>
    <row r="78" spans="1:15" ht="28.5" customHeight="1" thickBot="1" x14ac:dyDescent="0.5">
      <c r="A78" s="47">
        <v>57</v>
      </c>
      <c r="B78" s="48" t="s">
        <v>113</v>
      </c>
      <c r="C78" s="49"/>
      <c r="D78" s="173"/>
      <c r="E78" s="49"/>
      <c r="F78" s="188"/>
      <c r="G78" s="160"/>
      <c r="H78" s="160"/>
      <c r="I78" s="51"/>
      <c r="J78" s="51" t="s">
        <v>52</v>
      </c>
      <c r="K78" s="141">
        <v>6</v>
      </c>
      <c r="L78" s="141">
        <v>9</v>
      </c>
      <c r="M78" s="141">
        <v>8</v>
      </c>
      <c r="N78" s="156">
        <f t="shared" si="4"/>
        <v>7.833333333333333</v>
      </c>
      <c r="O78" s="124">
        <f>SUMIF(Pamela!$A$3:$A$115,Planification!A78,Pamela!$C$3:$C$115) + SUMIF(Florian!$A$3:$A$110,Planification!A78,Florian!$C$3:$C$110) + SUMIF(Christophe!$A$3:$A$114,Planification!A78,Christophe!$C$3:$C$114) + SUMIF(Faton!$A$3:$A$112,Planification!A78,Faton!$C$3:$C$112)</f>
        <v>0</v>
      </c>
    </row>
    <row r="79" spans="1:15" ht="28.5" customHeight="1" thickBot="1" x14ac:dyDescent="0.5">
      <c r="A79" s="138"/>
      <c r="J79" s="196" t="s">
        <v>114</v>
      </c>
      <c r="K79" s="197">
        <f t="shared" ref="K79:N79" si="5">SUM(K4:K78)</f>
        <v>685</v>
      </c>
      <c r="L79" s="197">
        <f t="shared" si="5"/>
        <v>1284</v>
      </c>
      <c r="M79" s="197">
        <f t="shared" si="5"/>
        <v>1007</v>
      </c>
      <c r="N79" s="155">
        <f t="shared" si="5"/>
        <v>999.50000000000011</v>
      </c>
      <c r="O79" s="158">
        <f>SUM(O4:O78)</f>
        <v>209.79999999999998</v>
      </c>
    </row>
  </sheetData>
  <sortState xmlns:xlrd2="http://schemas.microsoft.com/office/spreadsheetml/2017/richdata2" ref="B58:O63">
    <sortCondition ref="C58:C63"/>
  </sortState>
  <mergeCells count="1">
    <mergeCell ref="A1:O1"/>
  </mergeCells>
  <conditionalFormatting sqref="U7">
    <cfRule type="dataBar" priority="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{578D7FA0-BB8F-4BE6-ABEF-6F5E4D69A557}</x14:id>
        </ext>
      </extLst>
    </cfRule>
  </conditionalFormatting>
  <dataValidations count="2">
    <dataValidation type="list" allowBlank="1" showInputMessage="1" showErrorMessage="1" sqref="J5:J7" xr:uid="{E5F879D5-5C52-4A29-902C-3B3FC553440B}">
      <formula1>"Equipe, Chris, Florian, Pamela, Faton"</formula1>
    </dataValidation>
    <dataValidation type="list" allowBlank="1" showInputMessage="1" showErrorMessage="1" sqref="J8:J78" xr:uid="{C73B2A31-6F22-4E42-B6D1-94428AC78A97}">
      <mc:AlternateContent xmlns:x12ac="http://schemas.microsoft.com/office/spreadsheetml/2011/1/ac" xmlns:mc="http://schemas.openxmlformats.org/markup-compatibility/2006">
        <mc:Choice Requires="x12ac">
          <x12ac:list>Equipe, Chris, Florian, Pamela, Faton," Chris, Florian, Pamela"," Chris, Florian, Faton"," Chris, Pamela, Faton"," Florian, Pamela, Faton"," Chris, Florian"," Chris, Pamela"," Chris, Faton"," Florian, Pamela"," Florian, Faton"," Pamela, Faton"</x12ac:list>
        </mc:Choice>
        <mc:Fallback>
          <formula1>"Equipe, Chris, Florian, Pamela, Faton, Chris, Florian, Pamela, Chris, Florian, Faton, Chris, Pamela, Faton, Florian, Pamela, Faton, Chris, Florian, Chris, Pamela, Chris, Faton, Florian, Pamela, Florian, Faton, Pamela, Faton"</formula1>
        </mc:Fallback>
      </mc:AlternateContent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8D7FA0-BB8F-4BE6-ABEF-6F5E4D69A5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3D280-08B1-4211-BA20-D9972EFC5CE6}">
  <dimension ref="A1:D115"/>
  <sheetViews>
    <sheetView zoomScale="54" workbookViewId="0">
      <pane xSplit="4" ySplit="2" topLeftCell="E14" activePane="bottomRight" state="frozen"/>
      <selection pane="topRight" activeCell="E1" sqref="E1"/>
      <selection pane="bottomLeft" activeCell="A3" sqref="A3"/>
      <selection pane="bottomRight" activeCell="C34" sqref="C34"/>
    </sheetView>
  </sheetViews>
  <sheetFormatPr baseColWidth="10" defaultColWidth="10.796875" defaultRowHeight="14.25" x14ac:dyDescent="0.45"/>
  <cols>
    <col min="1" max="1" width="17.53125" style="35" customWidth="1"/>
    <col min="2" max="2" width="38.19921875" style="136" bestFit="1" customWidth="1"/>
    <col min="3" max="3" width="30.796875" style="33" customWidth="1"/>
    <col min="4" max="4" width="79" style="133" customWidth="1"/>
    <col min="5" max="8" width="11" style="33" bestFit="1" customWidth="1"/>
    <col min="9" max="16384" width="10.796875" style="33"/>
  </cols>
  <sheetData>
    <row r="1" spans="1:4" ht="91.9" x14ac:dyDescent="0.45">
      <c r="A1" s="205" t="s">
        <v>115</v>
      </c>
      <c r="B1" s="205"/>
      <c r="C1" s="205"/>
      <c r="D1" s="205"/>
    </row>
    <row r="2" spans="1:4" ht="51" x14ac:dyDescent="0.45">
      <c r="A2" s="34" t="s">
        <v>116</v>
      </c>
      <c r="B2" s="134" t="s">
        <v>117</v>
      </c>
      <c r="C2" s="26" t="s">
        <v>118</v>
      </c>
      <c r="D2" s="131" t="s">
        <v>119</v>
      </c>
    </row>
    <row r="3" spans="1:4" s="38" customFormat="1" ht="46.5" x14ac:dyDescent="0.45">
      <c r="A3" s="36">
        <v>0</v>
      </c>
      <c r="B3" s="135" t="s">
        <v>120</v>
      </c>
      <c r="C3" s="37">
        <v>20</v>
      </c>
      <c r="D3" s="132" t="s">
        <v>121</v>
      </c>
    </row>
    <row r="4" spans="1:4" s="38" customFormat="1" ht="23.25" x14ac:dyDescent="0.45">
      <c r="A4" s="36">
        <v>54</v>
      </c>
      <c r="B4" s="135">
        <v>45197</v>
      </c>
      <c r="C4" s="37">
        <v>1</v>
      </c>
      <c r="D4" s="132" t="s">
        <v>122</v>
      </c>
    </row>
    <row r="5" spans="1:4" s="38" customFormat="1" ht="23.25" x14ac:dyDescent="0.45">
      <c r="A5" s="36">
        <v>53</v>
      </c>
      <c r="B5" s="135">
        <v>45198</v>
      </c>
      <c r="C5" s="37">
        <v>0.25</v>
      </c>
      <c r="D5" s="132" t="s">
        <v>123</v>
      </c>
    </row>
    <row r="6" spans="1:4" s="38" customFormat="1" ht="23.25" x14ac:dyDescent="0.45">
      <c r="A6" s="36">
        <v>56</v>
      </c>
      <c r="B6" s="135">
        <v>45201</v>
      </c>
      <c r="C6" s="37">
        <v>0.25</v>
      </c>
      <c r="D6" s="132" t="s">
        <v>124</v>
      </c>
    </row>
    <row r="7" spans="1:4" s="38" customFormat="1" ht="23.25" x14ac:dyDescent="0.45">
      <c r="A7" s="36">
        <v>54</v>
      </c>
      <c r="B7" s="135">
        <v>45218</v>
      </c>
      <c r="C7" s="37">
        <v>2</v>
      </c>
      <c r="D7" s="132" t="s">
        <v>125</v>
      </c>
    </row>
    <row r="8" spans="1:4" s="38" customFormat="1" ht="23.25" x14ac:dyDescent="0.45">
      <c r="A8" s="36">
        <v>53</v>
      </c>
      <c r="B8" s="135">
        <v>45219</v>
      </c>
      <c r="C8" s="37">
        <v>0.25</v>
      </c>
      <c r="D8" s="132" t="s">
        <v>126</v>
      </c>
    </row>
    <row r="9" spans="1:4" s="38" customFormat="1" ht="139.5" x14ac:dyDescent="0.45">
      <c r="A9" s="36">
        <v>50</v>
      </c>
      <c r="B9" s="135" t="s">
        <v>127</v>
      </c>
      <c r="C9" s="37">
        <v>4</v>
      </c>
      <c r="D9" s="132" t="s">
        <v>128</v>
      </c>
    </row>
    <row r="10" spans="1:4" s="38" customFormat="1" ht="23.25" x14ac:dyDescent="0.45">
      <c r="A10" s="36">
        <v>5</v>
      </c>
      <c r="B10" s="135">
        <v>45231</v>
      </c>
      <c r="C10" s="37">
        <v>3</v>
      </c>
      <c r="D10" s="132" t="s">
        <v>129</v>
      </c>
    </row>
    <row r="11" spans="1:4" s="38" customFormat="1" ht="23.25" x14ac:dyDescent="0.45">
      <c r="A11" s="36">
        <v>56</v>
      </c>
      <c r="B11" s="135">
        <v>45236</v>
      </c>
      <c r="C11" s="37">
        <v>0.25</v>
      </c>
      <c r="D11" s="132" t="s">
        <v>130</v>
      </c>
    </row>
    <row r="12" spans="1:4" s="38" customFormat="1" ht="23.25" x14ac:dyDescent="0.45">
      <c r="A12" s="36">
        <v>2</v>
      </c>
      <c r="B12" s="135">
        <v>45236</v>
      </c>
      <c r="C12" s="37">
        <v>0.25</v>
      </c>
      <c r="D12" s="132" t="s">
        <v>131</v>
      </c>
    </row>
    <row r="13" spans="1:4" s="38" customFormat="1" ht="46.5" x14ac:dyDescent="0.45">
      <c r="A13" s="36">
        <v>51</v>
      </c>
      <c r="B13" s="135">
        <v>45236</v>
      </c>
      <c r="C13" s="37">
        <v>0.5</v>
      </c>
      <c r="D13" s="132" t="s">
        <v>132</v>
      </c>
    </row>
    <row r="14" spans="1:4" s="38" customFormat="1" ht="23.25" x14ac:dyDescent="0.45">
      <c r="A14" s="36">
        <v>6</v>
      </c>
      <c r="B14" s="135">
        <v>45238</v>
      </c>
      <c r="C14" s="37">
        <v>2</v>
      </c>
      <c r="D14" s="132" t="s">
        <v>133</v>
      </c>
    </row>
    <row r="15" spans="1:4" s="38" customFormat="1" ht="23.25" x14ac:dyDescent="0.45">
      <c r="A15" s="36">
        <v>54</v>
      </c>
      <c r="B15" s="135">
        <v>45239</v>
      </c>
      <c r="C15" s="37">
        <v>2</v>
      </c>
      <c r="D15" s="132" t="s">
        <v>134</v>
      </c>
    </row>
    <row r="16" spans="1:4" s="38" customFormat="1" ht="23.25" x14ac:dyDescent="0.45">
      <c r="A16" s="36">
        <v>53</v>
      </c>
      <c r="B16" s="135">
        <v>45240</v>
      </c>
      <c r="C16" s="37">
        <v>0.25</v>
      </c>
      <c r="D16" s="132" t="s">
        <v>135</v>
      </c>
    </row>
    <row r="17" spans="1:4" s="38" customFormat="1" ht="46.5" x14ac:dyDescent="0.45">
      <c r="A17" s="36">
        <v>52</v>
      </c>
      <c r="B17" s="135">
        <v>45241</v>
      </c>
      <c r="C17" s="37">
        <v>2</v>
      </c>
      <c r="D17" s="132" t="s">
        <v>136</v>
      </c>
    </row>
    <row r="18" spans="1:4" s="38" customFormat="1" ht="46.5" x14ac:dyDescent="0.45">
      <c r="A18" s="36">
        <v>50</v>
      </c>
      <c r="B18" s="135">
        <v>45244</v>
      </c>
      <c r="C18" s="37">
        <v>2.25</v>
      </c>
      <c r="D18" s="132" t="s">
        <v>137</v>
      </c>
    </row>
    <row r="19" spans="1:4" s="38" customFormat="1" ht="69.75" x14ac:dyDescent="0.45">
      <c r="A19" s="36">
        <v>50</v>
      </c>
      <c r="B19" s="135">
        <v>45250</v>
      </c>
      <c r="C19" s="37">
        <v>1.25</v>
      </c>
      <c r="D19" s="132" t="s">
        <v>138</v>
      </c>
    </row>
    <row r="20" spans="1:4" s="38" customFormat="1" ht="23.25" x14ac:dyDescent="0.45">
      <c r="A20" s="36">
        <v>50</v>
      </c>
      <c r="B20" s="135">
        <v>45251</v>
      </c>
      <c r="C20" s="37">
        <v>2.5</v>
      </c>
      <c r="D20" s="132" t="s">
        <v>139</v>
      </c>
    </row>
    <row r="21" spans="1:4" s="38" customFormat="1" ht="23.25" x14ac:dyDescent="0.45">
      <c r="A21" s="36">
        <v>50</v>
      </c>
      <c r="B21" s="135">
        <v>45252</v>
      </c>
      <c r="C21" s="37">
        <v>1.75</v>
      </c>
      <c r="D21" s="132" t="s">
        <v>140</v>
      </c>
    </row>
    <row r="22" spans="1:4" s="38" customFormat="1" ht="23.25" x14ac:dyDescent="0.45">
      <c r="A22" s="36">
        <v>52</v>
      </c>
      <c r="B22" s="135">
        <v>45252</v>
      </c>
      <c r="C22" s="37">
        <v>0.25</v>
      </c>
      <c r="D22" s="132" t="s">
        <v>141</v>
      </c>
    </row>
    <row r="23" spans="1:4" s="38" customFormat="1" ht="46.5" x14ac:dyDescent="0.45">
      <c r="A23" s="36">
        <v>50</v>
      </c>
      <c r="B23" s="135">
        <v>45253</v>
      </c>
      <c r="C23" s="37">
        <v>1.5</v>
      </c>
      <c r="D23" s="132" t="s">
        <v>142</v>
      </c>
    </row>
    <row r="24" spans="1:4" s="38" customFormat="1" ht="23.25" x14ac:dyDescent="0.45">
      <c r="A24" s="36">
        <v>50</v>
      </c>
      <c r="B24" s="135">
        <v>45255</v>
      </c>
      <c r="C24" s="37">
        <v>4</v>
      </c>
      <c r="D24" s="132" t="s">
        <v>143</v>
      </c>
    </row>
    <row r="25" spans="1:4" s="38" customFormat="1" ht="46.5" x14ac:dyDescent="0.45">
      <c r="A25" s="36">
        <v>50</v>
      </c>
      <c r="B25" s="135">
        <v>45256</v>
      </c>
      <c r="C25" s="37">
        <v>5</v>
      </c>
      <c r="D25" s="132" t="s">
        <v>144</v>
      </c>
    </row>
    <row r="26" spans="1:4" s="38" customFormat="1" ht="23.25" x14ac:dyDescent="0.45">
      <c r="A26" s="36">
        <v>53</v>
      </c>
      <c r="B26" s="135">
        <v>45258</v>
      </c>
      <c r="C26" s="37">
        <v>0.25</v>
      </c>
      <c r="D26" s="132" t="s">
        <v>172</v>
      </c>
    </row>
    <row r="27" spans="1:4" s="38" customFormat="1" ht="23.25" x14ac:dyDescent="0.45">
      <c r="A27" s="36">
        <v>10</v>
      </c>
      <c r="B27" s="135">
        <v>45266</v>
      </c>
      <c r="C27" s="37">
        <v>1</v>
      </c>
      <c r="D27" s="132"/>
    </row>
    <row r="28" spans="1:4" s="38" customFormat="1" ht="23.25" x14ac:dyDescent="0.45">
      <c r="A28" s="36" t="s">
        <v>169</v>
      </c>
      <c r="B28" s="135">
        <v>45271</v>
      </c>
      <c r="C28" s="37">
        <v>0.5</v>
      </c>
      <c r="D28" s="132" t="s">
        <v>168</v>
      </c>
    </row>
    <row r="29" spans="1:4" s="38" customFormat="1" ht="23.25" x14ac:dyDescent="0.45">
      <c r="A29" s="36">
        <v>10</v>
      </c>
      <c r="B29" s="135">
        <v>45292</v>
      </c>
      <c r="C29" s="37">
        <v>1</v>
      </c>
      <c r="D29" s="132"/>
    </row>
    <row r="30" spans="1:4" s="38" customFormat="1" ht="23.25" x14ac:dyDescent="0.45">
      <c r="A30" s="36">
        <v>9</v>
      </c>
      <c r="B30" s="135">
        <v>45294</v>
      </c>
      <c r="C30" s="37">
        <v>2</v>
      </c>
      <c r="D30" s="132" t="s">
        <v>145</v>
      </c>
    </row>
    <row r="31" spans="1:4" s="38" customFormat="1" ht="23.25" x14ac:dyDescent="0.45">
      <c r="A31" s="36">
        <v>9</v>
      </c>
      <c r="B31" s="135">
        <v>45296</v>
      </c>
      <c r="C31" s="37">
        <v>5</v>
      </c>
      <c r="D31" s="132" t="s">
        <v>146</v>
      </c>
    </row>
    <row r="32" spans="1:4" s="38" customFormat="1" ht="23.25" x14ac:dyDescent="0.45">
      <c r="A32" s="36">
        <v>8</v>
      </c>
      <c r="B32" s="135">
        <v>45297</v>
      </c>
      <c r="C32" s="37">
        <v>2.5</v>
      </c>
      <c r="D32" s="132" t="s">
        <v>146</v>
      </c>
    </row>
    <row r="33" spans="1:4" s="38" customFormat="1" ht="23.25" x14ac:dyDescent="0.45">
      <c r="A33" s="36"/>
      <c r="B33" s="135"/>
      <c r="C33" s="37"/>
      <c r="D33" s="132"/>
    </row>
    <row r="34" spans="1:4" s="38" customFormat="1" ht="23.25" x14ac:dyDescent="0.45">
      <c r="A34" s="36"/>
      <c r="B34" s="135"/>
      <c r="C34" s="37"/>
      <c r="D34" s="132"/>
    </row>
    <row r="35" spans="1:4" s="38" customFormat="1" ht="23.25" x14ac:dyDescent="0.45">
      <c r="A35" s="36"/>
      <c r="B35" s="135"/>
      <c r="C35" s="37"/>
      <c r="D35" s="132"/>
    </row>
    <row r="36" spans="1:4" s="38" customFormat="1" ht="23.25" x14ac:dyDescent="0.45">
      <c r="A36" s="36"/>
      <c r="B36" s="135"/>
      <c r="C36" s="37"/>
      <c r="D36" s="132"/>
    </row>
    <row r="37" spans="1:4" s="38" customFormat="1" ht="23.25" x14ac:dyDescent="0.45">
      <c r="A37" s="36"/>
      <c r="B37" s="135"/>
      <c r="C37" s="37"/>
      <c r="D37" s="132"/>
    </row>
    <row r="38" spans="1:4" s="38" customFormat="1" ht="23.25" x14ac:dyDescent="0.45">
      <c r="A38" s="36"/>
      <c r="B38" s="135"/>
      <c r="C38" s="37"/>
      <c r="D38" s="132"/>
    </row>
    <row r="39" spans="1:4" s="38" customFormat="1" ht="23.25" x14ac:dyDescent="0.45">
      <c r="A39" s="36"/>
      <c r="B39" s="135"/>
      <c r="C39" s="37"/>
      <c r="D39" s="132"/>
    </row>
    <row r="40" spans="1:4" s="38" customFormat="1" ht="23.25" x14ac:dyDescent="0.45">
      <c r="A40" s="36"/>
      <c r="B40" s="135"/>
      <c r="C40" s="37"/>
      <c r="D40" s="132"/>
    </row>
    <row r="41" spans="1:4" s="38" customFormat="1" ht="23.25" x14ac:dyDescent="0.45">
      <c r="A41" s="36"/>
      <c r="B41" s="135"/>
      <c r="C41" s="37"/>
      <c r="D41" s="132"/>
    </row>
    <row r="42" spans="1:4" s="38" customFormat="1" ht="23.25" x14ac:dyDescent="0.45">
      <c r="A42" s="36"/>
      <c r="B42" s="135"/>
      <c r="C42" s="37"/>
      <c r="D42" s="132"/>
    </row>
    <row r="43" spans="1:4" s="38" customFormat="1" ht="23.25" x14ac:dyDescent="0.45">
      <c r="A43" s="36"/>
      <c r="B43" s="135"/>
      <c r="C43" s="37"/>
      <c r="D43" s="132"/>
    </row>
    <row r="44" spans="1:4" s="38" customFormat="1" ht="23.25" x14ac:dyDescent="0.45">
      <c r="A44" s="36"/>
      <c r="B44" s="135"/>
      <c r="C44" s="37"/>
      <c r="D44" s="132"/>
    </row>
    <row r="45" spans="1:4" s="38" customFormat="1" ht="23.25" x14ac:dyDescent="0.45">
      <c r="A45" s="36"/>
      <c r="B45" s="135"/>
      <c r="C45" s="37"/>
      <c r="D45" s="132"/>
    </row>
    <row r="46" spans="1:4" s="38" customFormat="1" ht="23.25" x14ac:dyDescent="0.45">
      <c r="A46" s="36"/>
      <c r="B46" s="135"/>
      <c r="C46" s="37"/>
      <c r="D46" s="132"/>
    </row>
    <row r="47" spans="1:4" s="38" customFormat="1" ht="23.25" x14ac:dyDescent="0.45">
      <c r="A47" s="36"/>
      <c r="B47" s="135"/>
      <c r="C47" s="37"/>
      <c r="D47" s="132"/>
    </row>
    <row r="48" spans="1:4" s="38" customFormat="1" ht="23.25" x14ac:dyDescent="0.45">
      <c r="A48" s="36"/>
      <c r="B48" s="135"/>
      <c r="C48" s="37"/>
      <c r="D48" s="132"/>
    </row>
    <row r="49" spans="1:4" s="38" customFormat="1" ht="23.25" x14ac:dyDescent="0.45">
      <c r="A49" s="36"/>
      <c r="B49" s="135"/>
      <c r="C49" s="37"/>
      <c r="D49" s="132"/>
    </row>
    <row r="50" spans="1:4" s="38" customFormat="1" ht="23.25" x14ac:dyDescent="0.45">
      <c r="A50" s="36"/>
      <c r="B50" s="135"/>
      <c r="C50" s="37"/>
      <c r="D50" s="132"/>
    </row>
    <row r="51" spans="1:4" s="38" customFormat="1" ht="23.25" x14ac:dyDescent="0.45">
      <c r="A51" s="36"/>
      <c r="B51" s="135"/>
      <c r="C51" s="37"/>
      <c r="D51" s="132"/>
    </row>
    <row r="52" spans="1:4" s="38" customFormat="1" ht="23.25" x14ac:dyDescent="0.45">
      <c r="A52" s="36"/>
      <c r="B52" s="135"/>
      <c r="C52" s="37"/>
      <c r="D52" s="132"/>
    </row>
    <row r="53" spans="1:4" s="38" customFormat="1" ht="23.25" x14ac:dyDescent="0.45">
      <c r="A53" s="36"/>
      <c r="B53" s="135"/>
      <c r="C53" s="37"/>
      <c r="D53" s="132"/>
    </row>
    <row r="54" spans="1:4" s="38" customFormat="1" ht="23.25" x14ac:dyDescent="0.45">
      <c r="A54" s="36"/>
      <c r="B54" s="135"/>
      <c r="C54" s="37"/>
      <c r="D54" s="132"/>
    </row>
    <row r="55" spans="1:4" s="38" customFormat="1" ht="23.25" x14ac:dyDescent="0.45">
      <c r="A55" s="36"/>
      <c r="B55" s="135"/>
      <c r="C55" s="37"/>
      <c r="D55" s="132"/>
    </row>
    <row r="56" spans="1:4" s="38" customFormat="1" ht="23.25" x14ac:dyDescent="0.45">
      <c r="A56" s="36"/>
      <c r="B56" s="135"/>
      <c r="C56" s="37"/>
      <c r="D56" s="132"/>
    </row>
    <row r="57" spans="1:4" s="38" customFormat="1" ht="23.25" x14ac:dyDescent="0.45">
      <c r="A57" s="36"/>
      <c r="B57" s="135"/>
      <c r="C57" s="37"/>
      <c r="D57" s="132"/>
    </row>
    <row r="58" spans="1:4" s="38" customFormat="1" ht="23.25" x14ac:dyDescent="0.45">
      <c r="A58" s="36"/>
      <c r="B58" s="135"/>
      <c r="C58" s="37"/>
      <c r="D58" s="132"/>
    </row>
    <row r="59" spans="1:4" s="38" customFormat="1" ht="23.25" x14ac:dyDescent="0.45">
      <c r="A59" s="36"/>
      <c r="B59" s="135"/>
      <c r="C59" s="37"/>
      <c r="D59" s="132"/>
    </row>
    <row r="60" spans="1:4" s="38" customFormat="1" ht="23.25" x14ac:dyDescent="0.45">
      <c r="A60" s="36"/>
      <c r="B60" s="135"/>
      <c r="C60" s="37"/>
      <c r="D60" s="132"/>
    </row>
    <row r="61" spans="1:4" s="38" customFormat="1" ht="23.25" x14ac:dyDescent="0.45">
      <c r="A61" s="36"/>
      <c r="B61" s="135"/>
      <c r="C61" s="37"/>
      <c r="D61" s="132"/>
    </row>
    <row r="62" spans="1:4" s="38" customFormat="1" ht="23.25" x14ac:dyDescent="0.45">
      <c r="A62" s="36"/>
      <c r="B62" s="135"/>
      <c r="C62" s="37"/>
      <c r="D62" s="132"/>
    </row>
    <row r="63" spans="1:4" s="38" customFormat="1" ht="23.25" x14ac:dyDescent="0.45">
      <c r="A63" s="36"/>
      <c r="B63" s="135"/>
      <c r="C63" s="37"/>
      <c r="D63" s="132"/>
    </row>
    <row r="64" spans="1:4" s="38" customFormat="1" ht="23.25" x14ac:dyDescent="0.45">
      <c r="A64" s="36"/>
      <c r="B64" s="135"/>
      <c r="C64" s="37"/>
      <c r="D64" s="132"/>
    </row>
    <row r="65" spans="1:4" s="38" customFormat="1" ht="23.25" x14ac:dyDescent="0.45">
      <c r="A65" s="36"/>
      <c r="B65" s="135"/>
      <c r="C65" s="37"/>
      <c r="D65" s="132"/>
    </row>
    <row r="66" spans="1:4" s="38" customFormat="1" ht="23.25" x14ac:dyDescent="0.45">
      <c r="A66" s="36"/>
      <c r="B66" s="135"/>
      <c r="C66" s="37"/>
      <c r="D66" s="132"/>
    </row>
    <row r="67" spans="1:4" s="38" customFormat="1" ht="23.25" x14ac:dyDescent="0.45">
      <c r="A67" s="36"/>
      <c r="B67" s="135"/>
      <c r="C67" s="37"/>
      <c r="D67" s="132"/>
    </row>
    <row r="68" spans="1:4" s="38" customFormat="1" ht="23.25" x14ac:dyDescent="0.45">
      <c r="A68" s="36"/>
      <c r="B68" s="135"/>
      <c r="C68" s="37"/>
      <c r="D68" s="132"/>
    </row>
    <row r="69" spans="1:4" s="38" customFormat="1" ht="23.25" x14ac:dyDescent="0.45">
      <c r="A69" s="36"/>
      <c r="B69" s="135"/>
      <c r="C69" s="37"/>
      <c r="D69" s="132"/>
    </row>
    <row r="70" spans="1:4" s="38" customFormat="1" ht="23.25" x14ac:dyDescent="0.45">
      <c r="A70" s="36"/>
      <c r="B70" s="135"/>
      <c r="C70" s="37"/>
      <c r="D70" s="132"/>
    </row>
    <row r="71" spans="1:4" s="38" customFormat="1" ht="23.25" x14ac:dyDescent="0.45">
      <c r="A71" s="36"/>
      <c r="B71" s="135"/>
      <c r="C71" s="37"/>
      <c r="D71" s="132"/>
    </row>
    <row r="72" spans="1:4" s="38" customFormat="1" ht="23.25" x14ac:dyDescent="0.45">
      <c r="A72" s="36"/>
      <c r="B72" s="135"/>
      <c r="C72" s="37"/>
      <c r="D72" s="132"/>
    </row>
    <row r="73" spans="1:4" s="38" customFormat="1" ht="23.25" x14ac:dyDescent="0.45">
      <c r="A73" s="36"/>
      <c r="B73" s="135"/>
      <c r="C73" s="37"/>
      <c r="D73" s="132"/>
    </row>
    <row r="74" spans="1:4" s="38" customFormat="1" ht="23.25" x14ac:dyDescent="0.45">
      <c r="A74" s="36"/>
      <c r="B74" s="135"/>
      <c r="C74" s="37"/>
      <c r="D74" s="132"/>
    </row>
    <row r="75" spans="1:4" s="38" customFormat="1" ht="23.25" x14ac:dyDescent="0.45">
      <c r="A75" s="36"/>
      <c r="B75" s="135"/>
      <c r="C75" s="37"/>
      <c r="D75" s="132"/>
    </row>
    <row r="76" spans="1:4" s="38" customFormat="1" ht="23.25" x14ac:dyDescent="0.45">
      <c r="A76" s="36"/>
      <c r="B76" s="135"/>
      <c r="C76" s="37"/>
      <c r="D76" s="132"/>
    </row>
    <row r="77" spans="1:4" s="38" customFormat="1" ht="23.25" x14ac:dyDescent="0.45">
      <c r="A77" s="36"/>
      <c r="B77" s="135"/>
      <c r="C77" s="37"/>
      <c r="D77" s="132"/>
    </row>
    <row r="78" spans="1:4" s="38" customFormat="1" ht="23.25" x14ac:dyDescent="0.45">
      <c r="A78" s="36"/>
      <c r="B78" s="135"/>
      <c r="C78" s="37"/>
      <c r="D78" s="132"/>
    </row>
    <row r="79" spans="1:4" s="38" customFormat="1" ht="23.25" x14ac:dyDescent="0.45">
      <c r="A79" s="36"/>
      <c r="B79" s="135"/>
      <c r="C79" s="37"/>
      <c r="D79" s="132"/>
    </row>
    <row r="80" spans="1:4" s="38" customFormat="1" ht="23.25" x14ac:dyDescent="0.45">
      <c r="A80" s="36"/>
      <c r="B80" s="135"/>
      <c r="C80" s="37"/>
      <c r="D80" s="132"/>
    </row>
    <row r="81" spans="1:4" s="38" customFormat="1" ht="23.25" x14ac:dyDescent="0.45">
      <c r="A81" s="36"/>
      <c r="B81" s="135"/>
      <c r="C81" s="37"/>
      <c r="D81" s="132"/>
    </row>
    <row r="82" spans="1:4" s="38" customFormat="1" ht="23.25" x14ac:dyDescent="0.45">
      <c r="A82" s="36"/>
      <c r="B82" s="135"/>
      <c r="C82" s="37"/>
      <c r="D82" s="132"/>
    </row>
    <row r="83" spans="1:4" s="38" customFormat="1" ht="23.25" x14ac:dyDescent="0.45">
      <c r="A83" s="36"/>
      <c r="B83" s="135"/>
      <c r="C83" s="37"/>
      <c r="D83" s="132"/>
    </row>
    <row r="84" spans="1:4" s="38" customFormat="1" ht="23.25" x14ac:dyDescent="0.45">
      <c r="A84" s="36"/>
      <c r="B84" s="135"/>
      <c r="C84" s="37"/>
      <c r="D84" s="132"/>
    </row>
    <row r="85" spans="1:4" s="38" customFormat="1" ht="23.25" x14ac:dyDescent="0.45">
      <c r="A85" s="36"/>
      <c r="B85" s="135"/>
      <c r="C85" s="37"/>
      <c r="D85" s="132"/>
    </row>
    <row r="86" spans="1:4" s="38" customFormat="1" ht="23.25" x14ac:dyDescent="0.45">
      <c r="A86" s="36"/>
      <c r="B86" s="135"/>
      <c r="C86" s="37"/>
      <c r="D86" s="132"/>
    </row>
    <row r="87" spans="1:4" s="38" customFormat="1" ht="23.25" x14ac:dyDescent="0.45">
      <c r="A87" s="36"/>
      <c r="B87" s="135"/>
      <c r="C87" s="37"/>
      <c r="D87" s="132"/>
    </row>
    <row r="88" spans="1:4" s="38" customFormat="1" ht="23.25" x14ac:dyDescent="0.45">
      <c r="A88" s="36"/>
      <c r="B88" s="135"/>
      <c r="C88" s="37"/>
      <c r="D88" s="132"/>
    </row>
    <row r="89" spans="1:4" s="38" customFormat="1" ht="23.25" x14ac:dyDescent="0.45">
      <c r="A89" s="36"/>
      <c r="B89" s="135"/>
      <c r="C89" s="37"/>
      <c r="D89" s="132"/>
    </row>
    <row r="90" spans="1:4" s="38" customFormat="1" ht="23.25" x14ac:dyDescent="0.45">
      <c r="A90" s="36"/>
      <c r="B90" s="135"/>
      <c r="C90" s="37"/>
      <c r="D90" s="132"/>
    </row>
    <row r="91" spans="1:4" s="38" customFormat="1" ht="23.25" x14ac:dyDescent="0.45">
      <c r="A91" s="36"/>
      <c r="B91" s="135"/>
      <c r="C91" s="37"/>
      <c r="D91" s="132"/>
    </row>
    <row r="92" spans="1:4" s="38" customFormat="1" ht="23.25" x14ac:dyDescent="0.45">
      <c r="A92" s="36"/>
      <c r="B92" s="135"/>
      <c r="C92" s="37"/>
      <c r="D92" s="132"/>
    </row>
    <row r="93" spans="1:4" s="38" customFormat="1" ht="23.25" x14ac:dyDescent="0.45">
      <c r="A93" s="36"/>
      <c r="B93" s="135"/>
      <c r="C93" s="37"/>
      <c r="D93" s="132"/>
    </row>
    <row r="94" spans="1:4" s="38" customFormat="1" ht="23.25" x14ac:dyDescent="0.45">
      <c r="A94" s="36"/>
      <c r="B94" s="135"/>
      <c r="C94" s="37"/>
      <c r="D94" s="132"/>
    </row>
    <row r="95" spans="1:4" s="38" customFormat="1" ht="23.25" x14ac:dyDescent="0.45">
      <c r="A95" s="36"/>
      <c r="B95" s="135"/>
      <c r="C95" s="37"/>
      <c r="D95" s="132"/>
    </row>
    <row r="96" spans="1:4" s="38" customFormat="1" ht="23.25" x14ac:dyDescent="0.45">
      <c r="A96" s="36"/>
      <c r="B96" s="135"/>
      <c r="C96" s="37"/>
      <c r="D96" s="132"/>
    </row>
    <row r="97" spans="1:4" s="38" customFormat="1" ht="23.25" x14ac:dyDescent="0.45">
      <c r="A97" s="36"/>
      <c r="B97" s="135"/>
      <c r="C97" s="37"/>
      <c r="D97" s="132"/>
    </row>
    <row r="98" spans="1:4" s="38" customFormat="1" ht="23.25" x14ac:dyDescent="0.45">
      <c r="A98" s="36"/>
      <c r="B98" s="135"/>
      <c r="C98" s="37"/>
      <c r="D98" s="132"/>
    </row>
    <row r="99" spans="1:4" s="38" customFormat="1" ht="23.25" x14ac:dyDescent="0.45">
      <c r="A99" s="36"/>
      <c r="B99" s="135"/>
      <c r="C99" s="37"/>
      <c r="D99" s="132"/>
    </row>
    <row r="100" spans="1:4" s="38" customFormat="1" ht="23.25" x14ac:dyDescent="0.45">
      <c r="A100" s="36"/>
      <c r="B100" s="135"/>
      <c r="C100" s="37"/>
      <c r="D100" s="132"/>
    </row>
    <row r="101" spans="1:4" s="38" customFormat="1" ht="23.25" x14ac:dyDescent="0.45">
      <c r="A101" s="36"/>
      <c r="B101" s="135"/>
      <c r="C101" s="37"/>
      <c r="D101" s="132"/>
    </row>
    <row r="102" spans="1:4" s="38" customFormat="1" ht="23.25" x14ac:dyDescent="0.45">
      <c r="A102" s="36"/>
      <c r="B102" s="135"/>
      <c r="C102" s="37"/>
      <c r="D102" s="132"/>
    </row>
    <row r="103" spans="1:4" s="38" customFormat="1" ht="23.25" x14ac:dyDescent="0.45">
      <c r="A103" s="36"/>
      <c r="B103" s="135"/>
      <c r="C103" s="37"/>
      <c r="D103" s="132"/>
    </row>
    <row r="104" spans="1:4" s="38" customFormat="1" ht="23.25" x14ac:dyDescent="0.45">
      <c r="A104" s="36"/>
      <c r="B104" s="135"/>
      <c r="C104" s="37"/>
      <c r="D104" s="132"/>
    </row>
    <row r="105" spans="1:4" s="38" customFormat="1" ht="23.25" x14ac:dyDescent="0.45">
      <c r="A105" s="36"/>
      <c r="B105" s="135"/>
      <c r="C105" s="37"/>
      <c r="D105" s="132"/>
    </row>
    <row r="106" spans="1:4" s="38" customFormat="1" ht="23.25" x14ac:dyDescent="0.45">
      <c r="A106" s="36"/>
      <c r="B106" s="135"/>
      <c r="C106" s="37"/>
      <c r="D106" s="132"/>
    </row>
    <row r="107" spans="1:4" s="38" customFormat="1" ht="23.25" x14ac:dyDescent="0.45">
      <c r="A107" s="36"/>
      <c r="B107" s="135"/>
      <c r="C107" s="37"/>
      <c r="D107" s="132"/>
    </row>
    <row r="108" spans="1:4" s="38" customFormat="1" ht="23.25" x14ac:dyDescent="0.45">
      <c r="A108" s="36"/>
      <c r="B108" s="135"/>
      <c r="C108" s="37"/>
      <c r="D108" s="132"/>
    </row>
    <row r="109" spans="1:4" s="38" customFormat="1" ht="23.25" x14ac:dyDescent="0.45">
      <c r="A109" s="36"/>
      <c r="B109" s="135"/>
      <c r="C109" s="37"/>
      <c r="D109" s="132"/>
    </row>
    <row r="110" spans="1:4" s="38" customFormat="1" ht="23.25" x14ac:dyDescent="0.45">
      <c r="A110" s="36"/>
      <c r="B110" s="135"/>
      <c r="C110" s="37"/>
      <c r="D110" s="132"/>
    </row>
    <row r="111" spans="1:4" s="38" customFormat="1" ht="23.25" x14ac:dyDescent="0.45">
      <c r="A111" s="36"/>
      <c r="B111" s="135"/>
      <c r="C111" s="37"/>
      <c r="D111" s="132"/>
    </row>
    <row r="112" spans="1:4" s="38" customFormat="1" ht="23.25" x14ac:dyDescent="0.45">
      <c r="A112" s="36"/>
      <c r="B112" s="135"/>
      <c r="C112" s="37"/>
      <c r="D112" s="132"/>
    </row>
    <row r="113" spans="1:4" s="38" customFormat="1" ht="23.25" x14ac:dyDescent="0.45">
      <c r="A113" s="36"/>
      <c r="B113" s="135"/>
      <c r="C113" s="37"/>
      <c r="D113" s="132"/>
    </row>
    <row r="114" spans="1:4" s="38" customFormat="1" ht="23.25" x14ac:dyDescent="0.45">
      <c r="A114" s="36"/>
      <c r="B114" s="135"/>
      <c r="C114" s="37"/>
      <c r="D114" s="132"/>
    </row>
    <row r="115" spans="1:4" s="38" customFormat="1" ht="23.25" x14ac:dyDescent="0.45">
      <c r="A115" s="36"/>
      <c r="B115" s="135"/>
      <c r="C115" s="37"/>
      <c r="D115" s="132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8F7A1-78FF-4511-BF43-1A2B99387672}">
  <dimension ref="A1:D110"/>
  <sheetViews>
    <sheetView zoomScale="43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26" sqref="D26"/>
    </sheetView>
  </sheetViews>
  <sheetFormatPr baseColWidth="10" defaultColWidth="10.796875" defaultRowHeight="14.25" x14ac:dyDescent="0.45"/>
  <cols>
    <col min="1" max="1" width="17.53125" style="35" customWidth="1"/>
    <col min="2" max="2" width="37.53125" style="136" bestFit="1" customWidth="1"/>
    <col min="3" max="3" width="30.796875" style="33" customWidth="1"/>
    <col min="4" max="4" width="79" style="133" bestFit="1" customWidth="1"/>
    <col min="5" max="8" width="11" style="33" bestFit="1" customWidth="1"/>
    <col min="9" max="16384" width="10.796875" style="33"/>
  </cols>
  <sheetData>
    <row r="1" spans="1:4" ht="91.9" x14ac:dyDescent="0.45">
      <c r="A1" s="205" t="s">
        <v>147</v>
      </c>
      <c r="B1" s="205"/>
      <c r="C1" s="205"/>
      <c r="D1" s="205"/>
    </row>
    <row r="2" spans="1:4" ht="51" x14ac:dyDescent="0.45">
      <c r="A2" s="34" t="s">
        <v>116</v>
      </c>
      <c r="B2" s="134" t="s">
        <v>117</v>
      </c>
      <c r="C2" s="26" t="s">
        <v>118</v>
      </c>
      <c r="D2" s="131" t="s">
        <v>119</v>
      </c>
    </row>
    <row r="3" spans="1:4" s="38" customFormat="1" ht="46.5" x14ac:dyDescent="0.45">
      <c r="A3" s="36">
        <v>0</v>
      </c>
      <c r="B3" s="135" t="s">
        <v>120</v>
      </c>
      <c r="C3" s="37">
        <v>20</v>
      </c>
      <c r="D3" s="132" t="s">
        <v>121</v>
      </c>
    </row>
    <row r="4" spans="1:4" s="38" customFormat="1" ht="23.25" x14ac:dyDescent="0.45">
      <c r="A4" s="36">
        <v>54</v>
      </c>
      <c r="B4" s="135">
        <v>45197</v>
      </c>
      <c r="C4" s="37">
        <v>1</v>
      </c>
      <c r="D4" s="132" t="s">
        <v>122</v>
      </c>
    </row>
    <row r="5" spans="1:4" s="38" customFormat="1" ht="23.25" x14ac:dyDescent="0.45">
      <c r="A5" s="36">
        <v>53</v>
      </c>
      <c r="B5" s="135">
        <v>45198</v>
      </c>
      <c r="C5" s="37">
        <v>0.25</v>
      </c>
      <c r="D5" s="132" t="s">
        <v>123</v>
      </c>
    </row>
    <row r="6" spans="1:4" s="38" customFormat="1" ht="23.25" x14ac:dyDescent="0.45">
      <c r="A6" s="36">
        <v>56</v>
      </c>
      <c r="B6" s="135">
        <v>45201</v>
      </c>
      <c r="C6" s="37">
        <v>0.25</v>
      </c>
      <c r="D6" s="132" t="s">
        <v>124</v>
      </c>
    </row>
    <row r="7" spans="1:4" s="38" customFormat="1" ht="23.25" x14ac:dyDescent="0.45">
      <c r="A7" s="36">
        <v>54</v>
      </c>
      <c r="B7" s="135">
        <v>45218</v>
      </c>
      <c r="C7" s="37">
        <v>1</v>
      </c>
      <c r="D7" s="132" t="s">
        <v>125</v>
      </c>
    </row>
    <row r="8" spans="1:4" s="38" customFormat="1" ht="23.25" x14ac:dyDescent="0.45">
      <c r="A8" s="36">
        <v>53</v>
      </c>
      <c r="B8" s="135">
        <v>45219</v>
      </c>
      <c r="C8" s="37">
        <v>0.25</v>
      </c>
      <c r="D8" s="132" t="s">
        <v>126</v>
      </c>
    </row>
    <row r="9" spans="1:4" s="38" customFormat="1" ht="69.75" x14ac:dyDescent="0.45">
      <c r="A9" s="36">
        <v>50</v>
      </c>
      <c r="B9" s="135" t="s">
        <v>127</v>
      </c>
      <c r="C9" s="37">
        <v>1.25</v>
      </c>
      <c r="D9" s="132" t="s">
        <v>148</v>
      </c>
    </row>
    <row r="10" spans="1:4" s="38" customFormat="1" ht="23.25" x14ac:dyDescent="0.45">
      <c r="A10" s="36">
        <v>5</v>
      </c>
      <c r="B10" s="135">
        <v>45231</v>
      </c>
      <c r="C10" s="37">
        <v>3</v>
      </c>
      <c r="D10" s="132" t="s">
        <v>129</v>
      </c>
    </row>
    <row r="11" spans="1:4" s="38" customFormat="1" ht="23.25" x14ac:dyDescent="0.45">
      <c r="A11" s="36">
        <v>56</v>
      </c>
      <c r="B11" s="135">
        <v>45236</v>
      </c>
      <c r="C11" s="37">
        <v>0.25</v>
      </c>
      <c r="D11" s="132" t="s">
        <v>130</v>
      </c>
    </row>
    <row r="12" spans="1:4" s="38" customFormat="1" ht="23.25" x14ac:dyDescent="0.45">
      <c r="A12" s="36">
        <v>2</v>
      </c>
      <c r="B12" s="135">
        <v>45236</v>
      </c>
      <c r="C12" s="37">
        <v>0.25</v>
      </c>
      <c r="D12" s="132" t="s">
        <v>131</v>
      </c>
    </row>
    <row r="13" spans="1:4" s="38" customFormat="1" ht="23.25" x14ac:dyDescent="0.45">
      <c r="A13" s="36">
        <v>6</v>
      </c>
      <c r="B13" s="135">
        <v>45238</v>
      </c>
      <c r="C13" s="37">
        <v>4</v>
      </c>
      <c r="D13" s="132" t="s">
        <v>133</v>
      </c>
    </row>
    <row r="14" spans="1:4" s="38" customFormat="1" ht="23.25" x14ac:dyDescent="0.45">
      <c r="A14" s="36">
        <v>54</v>
      </c>
      <c r="B14" s="135">
        <v>45239</v>
      </c>
      <c r="C14" s="37">
        <v>1.75</v>
      </c>
      <c r="D14" s="132" t="s">
        <v>134</v>
      </c>
    </row>
    <row r="15" spans="1:4" s="38" customFormat="1" ht="23.25" x14ac:dyDescent="0.45">
      <c r="A15" s="36">
        <v>53</v>
      </c>
      <c r="B15" s="135">
        <v>45240</v>
      </c>
      <c r="C15" s="37">
        <v>0.25</v>
      </c>
      <c r="D15" s="132" t="s">
        <v>135</v>
      </c>
    </row>
    <row r="16" spans="1:4" s="38" customFormat="1" ht="23.25" x14ac:dyDescent="0.45">
      <c r="A16" s="36">
        <v>3</v>
      </c>
      <c r="B16" s="135" t="s">
        <v>149</v>
      </c>
      <c r="C16" s="37">
        <v>12</v>
      </c>
      <c r="D16" s="132" t="s">
        <v>150</v>
      </c>
    </row>
    <row r="17" spans="1:4" s="38" customFormat="1" ht="23.25" x14ac:dyDescent="0.45">
      <c r="A17" s="36">
        <v>53</v>
      </c>
      <c r="B17" s="135">
        <v>45258</v>
      </c>
      <c r="C17" s="37">
        <v>0.25</v>
      </c>
      <c r="D17" s="132" t="s">
        <v>172</v>
      </c>
    </row>
    <row r="18" spans="1:4" s="38" customFormat="1" ht="23.25" x14ac:dyDescent="0.45">
      <c r="A18" s="36" t="s">
        <v>169</v>
      </c>
      <c r="B18" s="135">
        <v>45271</v>
      </c>
      <c r="C18" s="37">
        <v>0.5</v>
      </c>
      <c r="D18" s="132" t="s">
        <v>168</v>
      </c>
    </row>
    <row r="19" spans="1:4" s="38" customFormat="1" ht="23.25" x14ac:dyDescent="0.45">
      <c r="A19" s="36">
        <v>14</v>
      </c>
      <c r="B19" s="135"/>
      <c r="C19" s="37">
        <v>2</v>
      </c>
      <c r="D19" s="132" t="s">
        <v>173</v>
      </c>
    </row>
    <row r="20" spans="1:4" s="38" customFormat="1" ht="23.25" x14ac:dyDescent="0.45">
      <c r="A20" s="36"/>
      <c r="B20" s="135"/>
      <c r="C20" s="37"/>
      <c r="D20" s="132"/>
    </row>
    <row r="21" spans="1:4" s="38" customFormat="1" ht="23.25" x14ac:dyDescent="0.45">
      <c r="A21" s="36"/>
      <c r="B21" s="135"/>
      <c r="C21" s="37"/>
      <c r="D21" s="132"/>
    </row>
    <row r="22" spans="1:4" s="38" customFormat="1" ht="23.25" x14ac:dyDescent="0.45">
      <c r="A22" s="36"/>
      <c r="B22" s="135"/>
      <c r="C22" s="37"/>
      <c r="D22" s="132"/>
    </row>
    <row r="23" spans="1:4" s="38" customFormat="1" ht="23.25" x14ac:dyDescent="0.45">
      <c r="A23" s="36"/>
      <c r="B23" s="135"/>
      <c r="C23" s="37"/>
      <c r="D23" s="132"/>
    </row>
    <row r="24" spans="1:4" s="38" customFormat="1" ht="23.25" x14ac:dyDescent="0.45">
      <c r="A24" s="36"/>
      <c r="B24" s="135"/>
      <c r="C24" s="37"/>
      <c r="D24" s="132"/>
    </row>
    <row r="25" spans="1:4" s="38" customFormat="1" ht="23.25" x14ac:dyDescent="0.45">
      <c r="A25" s="36"/>
      <c r="B25" s="135"/>
      <c r="C25" s="37"/>
      <c r="D25" s="132"/>
    </row>
    <row r="26" spans="1:4" s="38" customFormat="1" ht="23.25" x14ac:dyDescent="0.45">
      <c r="A26" s="36"/>
      <c r="B26" s="135"/>
      <c r="C26" s="37"/>
      <c r="D26" s="132"/>
    </row>
    <row r="27" spans="1:4" s="38" customFormat="1" ht="23.25" x14ac:dyDescent="0.45">
      <c r="A27" s="36"/>
      <c r="B27" s="135"/>
      <c r="C27" s="37"/>
      <c r="D27" s="132"/>
    </row>
    <row r="28" spans="1:4" s="38" customFormat="1" ht="23.25" x14ac:dyDescent="0.45">
      <c r="A28" s="36"/>
      <c r="B28" s="135"/>
      <c r="C28" s="37"/>
      <c r="D28" s="132"/>
    </row>
    <row r="29" spans="1:4" s="38" customFormat="1" ht="23.25" x14ac:dyDescent="0.45">
      <c r="A29" s="36"/>
      <c r="B29" s="135"/>
      <c r="C29" s="37"/>
      <c r="D29" s="132"/>
    </row>
    <row r="30" spans="1:4" s="38" customFormat="1" ht="23.25" x14ac:dyDescent="0.45">
      <c r="A30" s="36"/>
      <c r="B30" s="135"/>
      <c r="C30" s="37"/>
      <c r="D30" s="132"/>
    </row>
    <row r="31" spans="1:4" s="38" customFormat="1" ht="23.25" x14ac:dyDescent="0.45">
      <c r="A31" s="36"/>
      <c r="B31" s="135"/>
      <c r="C31" s="37"/>
      <c r="D31" s="132"/>
    </row>
    <row r="32" spans="1:4" s="38" customFormat="1" ht="23.25" x14ac:dyDescent="0.45">
      <c r="A32" s="36"/>
      <c r="B32" s="135"/>
      <c r="C32" s="37"/>
      <c r="D32" s="132"/>
    </row>
    <row r="33" spans="1:4" s="38" customFormat="1" ht="23.25" x14ac:dyDescent="0.45">
      <c r="A33" s="36"/>
      <c r="B33" s="135"/>
      <c r="C33" s="37"/>
      <c r="D33" s="132"/>
    </row>
    <row r="34" spans="1:4" s="38" customFormat="1" ht="23.25" x14ac:dyDescent="0.45">
      <c r="A34" s="36"/>
      <c r="B34" s="135"/>
      <c r="C34" s="37"/>
      <c r="D34" s="132"/>
    </row>
    <row r="35" spans="1:4" s="38" customFormat="1" ht="23.25" x14ac:dyDescent="0.45">
      <c r="A35" s="36"/>
      <c r="B35" s="135"/>
      <c r="C35" s="37"/>
      <c r="D35" s="132"/>
    </row>
    <row r="36" spans="1:4" s="38" customFormat="1" ht="23.25" x14ac:dyDescent="0.45">
      <c r="A36" s="36"/>
      <c r="B36" s="135"/>
      <c r="C36" s="37"/>
      <c r="D36" s="132"/>
    </row>
    <row r="37" spans="1:4" s="38" customFormat="1" ht="23.25" x14ac:dyDescent="0.45">
      <c r="A37" s="36"/>
      <c r="B37" s="135"/>
      <c r="C37" s="37"/>
      <c r="D37" s="132"/>
    </row>
    <row r="38" spans="1:4" s="38" customFormat="1" ht="23.25" x14ac:dyDescent="0.45">
      <c r="A38" s="36"/>
      <c r="B38" s="135"/>
      <c r="C38" s="37"/>
      <c r="D38" s="132"/>
    </row>
    <row r="39" spans="1:4" s="38" customFormat="1" ht="23.25" x14ac:dyDescent="0.45">
      <c r="A39" s="36"/>
      <c r="B39" s="135"/>
      <c r="C39" s="37"/>
      <c r="D39" s="132"/>
    </row>
    <row r="40" spans="1:4" s="38" customFormat="1" ht="23.25" x14ac:dyDescent="0.45">
      <c r="A40" s="36"/>
      <c r="B40" s="135"/>
      <c r="C40" s="37"/>
      <c r="D40" s="132"/>
    </row>
    <row r="41" spans="1:4" s="38" customFormat="1" ht="23.25" x14ac:dyDescent="0.45">
      <c r="A41" s="36"/>
      <c r="B41" s="135"/>
      <c r="C41" s="37"/>
      <c r="D41" s="132"/>
    </row>
    <row r="42" spans="1:4" s="38" customFormat="1" ht="23.25" x14ac:dyDescent="0.45">
      <c r="A42" s="36"/>
      <c r="B42" s="135"/>
      <c r="C42" s="37"/>
      <c r="D42" s="132"/>
    </row>
    <row r="43" spans="1:4" s="38" customFormat="1" ht="23.25" x14ac:dyDescent="0.45">
      <c r="A43" s="36"/>
      <c r="B43" s="135"/>
      <c r="C43" s="37"/>
      <c r="D43" s="132"/>
    </row>
    <row r="44" spans="1:4" s="38" customFormat="1" ht="23.25" x14ac:dyDescent="0.45">
      <c r="A44" s="36"/>
      <c r="B44" s="135"/>
      <c r="C44" s="37"/>
      <c r="D44" s="132"/>
    </row>
    <row r="45" spans="1:4" s="38" customFormat="1" ht="23.25" x14ac:dyDescent="0.45">
      <c r="A45" s="36"/>
      <c r="B45" s="135"/>
      <c r="C45" s="37"/>
      <c r="D45" s="132"/>
    </row>
    <row r="46" spans="1:4" s="38" customFormat="1" ht="23.25" x14ac:dyDescent="0.45">
      <c r="A46" s="36"/>
      <c r="B46" s="135"/>
      <c r="C46" s="37"/>
      <c r="D46" s="132"/>
    </row>
    <row r="47" spans="1:4" s="38" customFormat="1" ht="23.25" x14ac:dyDescent="0.45">
      <c r="A47" s="36"/>
      <c r="B47" s="135"/>
      <c r="C47" s="37"/>
      <c r="D47" s="132"/>
    </row>
    <row r="48" spans="1:4" s="38" customFormat="1" ht="23.25" x14ac:dyDescent="0.45">
      <c r="A48" s="36"/>
      <c r="B48" s="135"/>
      <c r="C48" s="37"/>
      <c r="D48" s="132"/>
    </row>
    <row r="49" spans="1:4" s="38" customFormat="1" ht="23.25" x14ac:dyDescent="0.45">
      <c r="A49" s="36"/>
      <c r="B49" s="135"/>
      <c r="C49" s="37"/>
      <c r="D49" s="132"/>
    </row>
    <row r="50" spans="1:4" s="38" customFormat="1" ht="23.25" x14ac:dyDescent="0.45">
      <c r="A50" s="36"/>
      <c r="B50" s="135"/>
      <c r="C50" s="37"/>
      <c r="D50" s="132"/>
    </row>
    <row r="51" spans="1:4" s="38" customFormat="1" ht="23.25" x14ac:dyDescent="0.45">
      <c r="A51" s="36"/>
      <c r="B51" s="135"/>
      <c r="C51" s="37"/>
      <c r="D51" s="132"/>
    </row>
    <row r="52" spans="1:4" s="38" customFormat="1" ht="23.25" x14ac:dyDescent="0.45">
      <c r="A52" s="36"/>
      <c r="B52" s="135"/>
      <c r="C52" s="37"/>
      <c r="D52" s="132"/>
    </row>
    <row r="53" spans="1:4" s="38" customFormat="1" ht="23.25" x14ac:dyDescent="0.45">
      <c r="A53" s="36"/>
      <c r="B53" s="135"/>
      <c r="C53" s="37"/>
      <c r="D53" s="132"/>
    </row>
    <row r="54" spans="1:4" s="38" customFormat="1" ht="23.25" x14ac:dyDescent="0.45">
      <c r="A54" s="36"/>
      <c r="B54" s="135"/>
      <c r="C54" s="37"/>
      <c r="D54" s="132"/>
    </row>
    <row r="55" spans="1:4" s="38" customFormat="1" ht="23.25" x14ac:dyDescent="0.45">
      <c r="A55" s="36"/>
      <c r="B55" s="135"/>
      <c r="C55" s="37"/>
      <c r="D55" s="132"/>
    </row>
    <row r="56" spans="1:4" s="38" customFormat="1" ht="23.25" x14ac:dyDescent="0.45">
      <c r="A56" s="36"/>
      <c r="B56" s="135"/>
      <c r="C56" s="37"/>
      <c r="D56" s="132"/>
    </row>
    <row r="57" spans="1:4" s="38" customFormat="1" ht="23.25" x14ac:dyDescent="0.45">
      <c r="A57" s="36"/>
      <c r="B57" s="135"/>
      <c r="C57" s="37"/>
      <c r="D57" s="132"/>
    </row>
    <row r="58" spans="1:4" s="38" customFormat="1" ht="23.25" x14ac:dyDescent="0.45">
      <c r="A58" s="36"/>
      <c r="B58" s="135"/>
      <c r="C58" s="37"/>
      <c r="D58" s="132"/>
    </row>
    <row r="59" spans="1:4" s="38" customFormat="1" ht="23.25" x14ac:dyDescent="0.45">
      <c r="A59" s="36"/>
      <c r="B59" s="135"/>
      <c r="C59" s="37"/>
      <c r="D59" s="132"/>
    </row>
    <row r="60" spans="1:4" s="38" customFormat="1" ht="23.25" x14ac:dyDescent="0.45">
      <c r="A60" s="36"/>
      <c r="B60" s="135"/>
      <c r="C60" s="37"/>
      <c r="D60" s="132"/>
    </row>
    <row r="61" spans="1:4" s="38" customFormat="1" ht="23.25" x14ac:dyDescent="0.45">
      <c r="A61" s="36"/>
      <c r="B61" s="135"/>
      <c r="C61" s="37"/>
      <c r="D61" s="132"/>
    </row>
    <row r="62" spans="1:4" s="38" customFormat="1" ht="23.25" x14ac:dyDescent="0.45">
      <c r="A62" s="36"/>
      <c r="B62" s="135"/>
      <c r="C62" s="37"/>
      <c r="D62" s="132"/>
    </row>
    <row r="63" spans="1:4" s="38" customFormat="1" ht="23.25" x14ac:dyDescent="0.45">
      <c r="A63" s="36"/>
      <c r="B63" s="135"/>
      <c r="C63" s="37"/>
      <c r="D63" s="132"/>
    </row>
    <row r="64" spans="1:4" s="38" customFormat="1" ht="23.25" x14ac:dyDescent="0.45">
      <c r="A64" s="36"/>
      <c r="B64" s="135"/>
      <c r="C64" s="37"/>
      <c r="D64" s="132"/>
    </row>
    <row r="65" spans="1:4" s="38" customFormat="1" ht="23.25" x14ac:dyDescent="0.45">
      <c r="A65" s="36"/>
      <c r="B65" s="135"/>
      <c r="C65" s="37"/>
      <c r="D65" s="132"/>
    </row>
    <row r="66" spans="1:4" s="38" customFormat="1" ht="23.25" x14ac:dyDescent="0.45">
      <c r="A66" s="36"/>
      <c r="B66" s="135"/>
      <c r="C66" s="37"/>
      <c r="D66" s="132"/>
    </row>
    <row r="67" spans="1:4" s="38" customFormat="1" ht="23.25" x14ac:dyDescent="0.45">
      <c r="A67" s="36"/>
      <c r="B67" s="135"/>
      <c r="C67" s="37"/>
      <c r="D67" s="132"/>
    </row>
    <row r="68" spans="1:4" s="38" customFormat="1" ht="23.25" x14ac:dyDescent="0.45">
      <c r="A68" s="36"/>
      <c r="B68" s="135"/>
      <c r="C68" s="37"/>
      <c r="D68" s="132"/>
    </row>
    <row r="69" spans="1:4" s="38" customFormat="1" ht="23.25" x14ac:dyDescent="0.45">
      <c r="A69" s="36"/>
      <c r="B69" s="135"/>
      <c r="C69" s="37"/>
      <c r="D69" s="132"/>
    </row>
    <row r="70" spans="1:4" s="38" customFormat="1" ht="23.25" x14ac:dyDescent="0.45">
      <c r="A70" s="36"/>
      <c r="B70" s="135"/>
      <c r="C70" s="37"/>
      <c r="D70" s="132"/>
    </row>
    <row r="71" spans="1:4" s="38" customFormat="1" ht="23.25" x14ac:dyDescent="0.45">
      <c r="A71" s="36"/>
      <c r="B71" s="135"/>
      <c r="C71" s="37"/>
      <c r="D71" s="132"/>
    </row>
    <row r="72" spans="1:4" s="38" customFormat="1" ht="23.25" x14ac:dyDescent="0.45">
      <c r="A72" s="36"/>
      <c r="B72" s="135"/>
      <c r="C72" s="37"/>
      <c r="D72" s="132"/>
    </row>
    <row r="73" spans="1:4" s="38" customFormat="1" ht="23.25" x14ac:dyDescent="0.45">
      <c r="A73" s="36"/>
      <c r="B73" s="135"/>
      <c r="C73" s="37"/>
      <c r="D73" s="132"/>
    </row>
    <row r="74" spans="1:4" s="38" customFormat="1" ht="23.25" x14ac:dyDescent="0.45">
      <c r="A74" s="36"/>
      <c r="B74" s="135"/>
      <c r="C74" s="37"/>
      <c r="D74" s="132"/>
    </row>
    <row r="75" spans="1:4" s="38" customFormat="1" ht="23.25" x14ac:dyDescent="0.45">
      <c r="A75" s="36"/>
      <c r="B75" s="135"/>
      <c r="C75" s="37"/>
      <c r="D75" s="132"/>
    </row>
    <row r="76" spans="1:4" s="38" customFormat="1" ht="23.25" x14ac:dyDescent="0.45">
      <c r="A76" s="36"/>
      <c r="B76" s="135"/>
      <c r="C76" s="37"/>
      <c r="D76" s="132"/>
    </row>
    <row r="77" spans="1:4" s="38" customFormat="1" ht="23.25" x14ac:dyDescent="0.45">
      <c r="A77" s="36"/>
      <c r="B77" s="135"/>
      <c r="C77" s="37"/>
      <c r="D77" s="132"/>
    </row>
    <row r="78" spans="1:4" s="38" customFormat="1" ht="23.25" x14ac:dyDescent="0.45">
      <c r="A78" s="36"/>
      <c r="B78" s="135"/>
      <c r="C78" s="37"/>
      <c r="D78" s="132"/>
    </row>
    <row r="79" spans="1:4" s="38" customFormat="1" ht="23.25" x14ac:dyDescent="0.45">
      <c r="A79" s="36"/>
      <c r="B79" s="135"/>
      <c r="C79" s="37"/>
      <c r="D79" s="132"/>
    </row>
    <row r="80" spans="1:4" s="38" customFormat="1" ht="23.25" x14ac:dyDescent="0.45">
      <c r="A80" s="36"/>
      <c r="B80" s="135"/>
      <c r="C80" s="37"/>
      <c r="D80" s="132"/>
    </row>
    <row r="81" spans="1:4" s="38" customFormat="1" ht="23.25" x14ac:dyDescent="0.45">
      <c r="A81" s="36"/>
      <c r="B81" s="135"/>
      <c r="C81" s="37"/>
      <c r="D81" s="132"/>
    </row>
    <row r="82" spans="1:4" s="38" customFormat="1" ht="23.25" x14ac:dyDescent="0.45">
      <c r="A82" s="36"/>
      <c r="B82" s="135"/>
      <c r="C82" s="37"/>
      <c r="D82" s="132"/>
    </row>
    <row r="83" spans="1:4" s="38" customFormat="1" ht="23.25" x14ac:dyDescent="0.45">
      <c r="A83" s="36"/>
      <c r="B83" s="135"/>
      <c r="C83" s="37"/>
      <c r="D83" s="132"/>
    </row>
    <row r="84" spans="1:4" s="38" customFormat="1" ht="23.25" x14ac:dyDescent="0.45">
      <c r="A84" s="36"/>
      <c r="B84" s="135"/>
      <c r="C84" s="37"/>
      <c r="D84" s="132"/>
    </row>
    <row r="85" spans="1:4" s="38" customFormat="1" ht="23.25" x14ac:dyDescent="0.45">
      <c r="A85" s="36"/>
      <c r="B85" s="135"/>
      <c r="C85" s="37"/>
      <c r="D85" s="132"/>
    </row>
    <row r="86" spans="1:4" s="38" customFormat="1" ht="23.25" x14ac:dyDescent="0.45">
      <c r="A86" s="36"/>
      <c r="B86" s="135"/>
      <c r="C86" s="37"/>
      <c r="D86" s="132"/>
    </row>
    <row r="87" spans="1:4" s="38" customFormat="1" ht="23.25" x14ac:dyDescent="0.45">
      <c r="A87" s="36"/>
      <c r="B87" s="135"/>
      <c r="C87" s="37"/>
      <c r="D87" s="132"/>
    </row>
    <row r="88" spans="1:4" s="38" customFormat="1" ht="23.25" x14ac:dyDescent="0.45">
      <c r="A88" s="36"/>
      <c r="B88" s="135"/>
      <c r="C88" s="37"/>
      <c r="D88" s="132"/>
    </row>
    <row r="89" spans="1:4" s="38" customFormat="1" ht="23.25" x14ac:dyDescent="0.45">
      <c r="A89" s="36"/>
      <c r="B89" s="135"/>
      <c r="C89" s="37"/>
      <c r="D89" s="132"/>
    </row>
    <row r="90" spans="1:4" s="38" customFormat="1" ht="23.25" x14ac:dyDescent="0.45">
      <c r="A90" s="36"/>
      <c r="B90" s="135"/>
      <c r="C90" s="37"/>
      <c r="D90" s="132"/>
    </row>
    <row r="91" spans="1:4" s="38" customFormat="1" ht="23.25" x14ac:dyDescent="0.45">
      <c r="A91" s="36"/>
      <c r="B91" s="135"/>
      <c r="C91" s="37"/>
      <c r="D91" s="132"/>
    </row>
    <row r="92" spans="1:4" s="38" customFormat="1" ht="23.25" x14ac:dyDescent="0.45">
      <c r="A92" s="36"/>
      <c r="B92" s="135"/>
      <c r="C92" s="37"/>
      <c r="D92" s="132"/>
    </row>
    <row r="93" spans="1:4" s="38" customFormat="1" ht="23.25" x14ac:dyDescent="0.45">
      <c r="A93" s="36"/>
      <c r="B93" s="135"/>
      <c r="C93" s="37"/>
      <c r="D93" s="132"/>
    </row>
    <row r="94" spans="1:4" s="38" customFormat="1" ht="23.25" x14ac:dyDescent="0.45">
      <c r="A94" s="36"/>
      <c r="B94" s="135"/>
      <c r="C94" s="37"/>
      <c r="D94" s="132"/>
    </row>
    <row r="95" spans="1:4" s="38" customFormat="1" ht="23.25" x14ac:dyDescent="0.45">
      <c r="A95" s="36"/>
      <c r="B95" s="135"/>
      <c r="C95" s="37"/>
      <c r="D95" s="132"/>
    </row>
    <row r="96" spans="1:4" s="38" customFormat="1" ht="23.25" x14ac:dyDescent="0.45">
      <c r="A96" s="36"/>
      <c r="B96" s="135"/>
      <c r="C96" s="37"/>
      <c r="D96" s="132"/>
    </row>
    <row r="97" spans="1:4" s="38" customFormat="1" ht="23.25" x14ac:dyDescent="0.45">
      <c r="A97" s="36"/>
      <c r="B97" s="135"/>
      <c r="C97" s="37"/>
      <c r="D97" s="132"/>
    </row>
    <row r="98" spans="1:4" s="38" customFormat="1" ht="23.25" x14ac:dyDescent="0.45">
      <c r="A98" s="36"/>
      <c r="B98" s="135"/>
      <c r="C98" s="37"/>
      <c r="D98" s="132"/>
    </row>
    <row r="99" spans="1:4" s="38" customFormat="1" ht="23.25" x14ac:dyDescent="0.45">
      <c r="A99" s="36"/>
      <c r="B99" s="135"/>
      <c r="C99" s="37"/>
      <c r="D99" s="132"/>
    </row>
    <row r="100" spans="1:4" s="38" customFormat="1" ht="23.25" x14ac:dyDescent="0.45">
      <c r="A100" s="36"/>
      <c r="B100" s="135"/>
      <c r="C100" s="37"/>
      <c r="D100" s="132"/>
    </row>
    <row r="101" spans="1:4" s="38" customFormat="1" ht="23.25" x14ac:dyDescent="0.45">
      <c r="A101" s="36"/>
      <c r="B101" s="135"/>
      <c r="C101" s="37"/>
      <c r="D101" s="132"/>
    </row>
    <row r="102" spans="1:4" s="38" customFormat="1" ht="23.25" x14ac:dyDescent="0.45">
      <c r="A102" s="36"/>
      <c r="B102" s="135"/>
      <c r="C102" s="37"/>
      <c r="D102" s="132"/>
    </row>
    <row r="103" spans="1:4" s="38" customFormat="1" ht="23.25" x14ac:dyDescent="0.45">
      <c r="A103" s="36"/>
      <c r="B103" s="135"/>
      <c r="C103" s="37"/>
      <c r="D103" s="132"/>
    </row>
    <row r="104" spans="1:4" s="38" customFormat="1" ht="23.25" x14ac:dyDescent="0.45">
      <c r="A104" s="36"/>
      <c r="B104" s="135"/>
      <c r="C104" s="37"/>
      <c r="D104" s="132"/>
    </row>
    <row r="105" spans="1:4" s="38" customFormat="1" ht="23.25" x14ac:dyDescent="0.45">
      <c r="A105" s="36"/>
      <c r="B105" s="135"/>
      <c r="C105" s="37"/>
      <c r="D105" s="132"/>
    </row>
    <row r="106" spans="1:4" s="38" customFormat="1" ht="23.25" x14ac:dyDescent="0.45">
      <c r="A106" s="36"/>
      <c r="B106" s="135"/>
      <c r="C106" s="37"/>
      <c r="D106" s="132"/>
    </row>
    <row r="107" spans="1:4" s="38" customFormat="1" ht="23.25" x14ac:dyDescent="0.45">
      <c r="A107" s="36"/>
      <c r="B107" s="135"/>
      <c r="C107" s="37"/>
      <c r="D107" s="132"/>
    </row>
    <row r="108" spans="1:4" s="38" customFormat="1" ht="23.25" x14ac:dyDescent="0.45">
      <c r="A108" s="36"/>
      <c r="B108" s="135"/>
      <c r="C108" s="37"/>
      <c r="D108" s="132"/>
    </row>
    <row r="109" spans="1:4" s="38" customFormat="1" ht="23.25" x14ac:dyDescent="0.45">
      <c r="A109" s="36"/>
      <c r="B109" s="135"/>
      <c r="C109" s="37"/>
      <c r="D109" s="132"/>
    </row>
    <row r="110" spans="1:4" ht="23.25" x14ac:dyDescent="0.45">
      <c r="A110" s="36"/>
      <c r="B110" s="135"/>
      <c r="C110" s="37"/>
      <c r="D110" s="132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9D99-F182-406B-9DA7-5FC8A79AB8BF}">
  <dimension ref="A1:D114"/>
  <sheetViews>
    <sheetView zoomScale="46" workbookViewId="0">
      <pane xSplit="4" ySplit="2" topLeftCell="F4" activePane="bottomRight" state="frozen"/>
      <selection pane="topRight" activeCell="E1" sqref="E1"/>
      <selection pane="bottomLeft" activeCell="A3" sqref="A3"/>
      <selection pane="bottomRight" activeCell="D32" sqref="D32"/>
    </sheetView>
  </sheetViews>
  <sheetFormatPr baseColWidth="10" defaultColWidth="10.796875" defaultRowHeight="14.25" x14ac:dyDescent="0.45"/>
  <cols>
    <col min="1" max="1" width="17.53125" style="35" customWidth="1"/>
    <col min="2" max="2" width="38.53125" style="136" bestFit="1" customWidth="1"/>
    <col min="3" max="3" width="30.796875" style="33" customWidth="1"/>
    <col min="4" max="4" width="83.265625" style="133" customWidth="1"/>
    <col min="5" max="16384" width="10.796875" style="33"/>
  </cols>
  <sheetData>
    <row r="1" spans="1:4" ht="91.9" x14ac:dyDescent="0.45">
      <c r="A1" s="205" t="s">
        <v>151</v>
      </c>
      <c r="B1" s="205"/>
      <c r="C1" s="205"/>
      <c r="D1" s="205"/>
    </row>
    <row r="2" spans="1:4" ht="51" x14ac:dyDescent="0.45">
      <c r="A2" s="34" t="s">
        <v>116</v>
      </c>
      <c r="B2" s="134" t="s">
        <v>117</v>
      </c>
      <c r="C2" s="26" t="s">
        <v>15</v>
      </c>
      <c r="D2" s="131" t="s">
        <v>119</v>
      </c>
    </row>
    <row r="3" spans="1:4" s="38" customFormat="1" ht="23.25" x14ac:dyDescent="0.45">
      <c r="A3" s="36">
        <v>0</v>
      </c>
      <c r="B3" s="135" t="s">
        <v>120</v>
      </c>
      <c r="C3" s="37">
        <v>20</v>
      </c>
      <c r="D3" s="132" t="s">
        <v>121</v>
      </c>
    </row>
    <row r="4" spans="1:4" s="38" customFormat="1" ht="23.25" x14ac:dyDescent="0.45">
      <c r="A4" s="36">
        <v>54</v>
      </c>
      <c r="B4" s="135">
        <v>45197</v>
      </c>
      <c r="C4" s="37">
        <v>0.5</v>
      </c>
      <c r="D4" s="132" t="s">
        <v>122</v>
      </c>
    </row>
    <row r="5" spans="1:4" s="38" customFormat="1" ht="23.25" x14ac:dyDescent="0.45">
      <c r="A5" s="36">
        <v>53</v>
      </c>
      <c r="B5" s="135">
        <v>45198</v>
      </c>
      <c r="C5" s="37">
        <v>0.25</v>
      </c>
      <c r="D5" s="132" t="s">
        <v>123</v>
      </c>
    </row>
    <row r="6" spans="1:4" s="38" customFormat="1" ht="23.25" x14ac:dyDescent="0.45">
      <c r="A6" s="36">
        <v>55</v>
      </c>
      <c r="B6" s="135">
        <v>45199</v>
      </c>
      <c r="C6" s="37">
        <v>0.2</v>
      </c>
      <c r="D6" s="132" t="s">
        <v>152</v>
      </c>
    </row>
    <row r="7" spans="1:4" s="38" customFormat="1" ht="23.25" x14ac:dyDescent="0.45">
      <c r="A7" s="36">
        <v>56</v>
      </c>
      <c r="B7" s="135">
        <v>45201</v>
      </c>
      <c r="C7" s="37">
        <v>0.25</v>
      </c>
      <c r="D7" s="132" t="s">
        <v>124</v>
      </c>
    </row>
    <row r="8" spans="1:4" s="38" customFormat="1" ht="23.25" x14ac:dyDescent="0.45">
      <c r="A8" s="36">
        <v>54</v>
      </c>
      <c r="B8" s="135">
        <v>45218</v>
      </c>
      <c r="C8" s="37"/>
      <c r="D8" s="132" t="s">
        <v>125</v>
      </c>
    </row>
    <row r="9" spans="1:4" s="38" customFormat="1" ht="23.25" x14ac:dyDescent="0.45">
      <c r="A9" s="36">
        <v>53</v>
      </c>
      <c r="B9" s="135">
        <v>45219</v>
      </c>
      <c r="C9" s="37">
        <v>0.25</v>
      </c>
      <c r="D9" s="132" t="s">
        <v>126</v>
      </c>
    </row>
    <row r="10" spans="1:4" s="38" customFormat="1" ht="69.75" x14ac:dyDescent="0.45">
      <c r="A10" s="36">
        <v>50</v>
      </c>
      <c r="B10" s="135" t="s">
        <v>127</v>
      </c>
      <c r="C10" s="37">
        <v>2.5</v>
      </c>
      <c r="D10" s="132" t="s">
        <v>153</v>
      </c>
    </row>
    <row r="11" spans="1:4" s="38" customFormat="1" ht="46.5" x14ac:dyDescent="0.45">
      <c r="A11" s="36">
        <v>1</v>
      </c>
      <c r="B11" s="135"/>
      <c r="C11" s="37">
        <v>0.5</v>
      </c>
      <c r="D11" s="132" t="s">
        <v>154</v>
      </c>
    </row>
    <row r="12" spans="1:4" s="38" customFormat="1" ht="23.25" x14ac:dyDescent="0.45">
      <c r="A12" s="36">
        <v>5</v>
      </c>
      <c r="B12" s="135">
        <v>45231</v>
      </c>
      <c r="C12" s="37">
        <v>3</v>
      </c>
      <c r="D12" s="132" t="s">
        <v>129</v>
      </c>
    </row>
    <row r="13" spans="1:4" s="38" customFormat="1" ht="23.25" x14ac:dyDescent="0.45">
      <c r="A13" s="36">
        <v>56</v>
      </c>
      <c r="B13" s="135">
        <v>45236</v>
      </c>
      <c r="C13" s="37">
        <v>0.25</v>
      </c>
      <c r="D13" s="132" t="s">
        <v>130</v>
      </c>
    </row>
    <row r="14" spans="1:4" s="38" customFormat="1" ht="23.25" x14ac:dyDescent="0.45">
      <c r="A14" s="36">
        <v>2</v>
      </c>
      <c r="B14" s="135">
        <v>45236</v>
      </c>
      <c r="C14" s="37">
        <v>0.25</v>
      </c>
      <c r="D14" s="132" t="s">
        <v>131</v>
      </c>
    </row>
    <row r="15" spans="1:4" s="38" customFormat="1" ht="23.25" x14ac:dyDescent="0.45">
      <c r="A15" s="36">
        <v>6</v>
      </c>
      <c r="B15" s="135">
        <v>45238</v>
      </c>
      <c r="C15" s="37">
        <v>4</v>
      </c>
      <c r="D15" s="132" t="s">
        <v>133</v>
      </c>
    </row>
    <row r="16" spans="1:4" s="38" customFormat="1" ht="23.25" x14ac:dyDescent="0.45">
      <c r="A16" s="36">
        <v>54</v>
      </c>
      <c r="B16" s="135">
        <v>45239</v>
      </c>
      <c r="C16" s="37">
        <v>1</v>
      </c>
      <c r="D16" s="132" t="s">
        <v>134</v>
      </c>
    </row>
    <row r="17" spans="1:4" s="38" customFormat="1" ht="23.25" x14ac:dyDescent="0.45">
      <c r="A17" s="36">
        <v>53</v>
      </c>
      <c r="B17" s="135">
        <v>45240</v>
      </c>
      <c r="C17" s="37">
        <v>0.25</v>
      </c>
      <c r="D17" s="132" t="s">
        <v>135</v>
      </c>
    </row>
    <row r="18" spans="1:4" s="38" customFormat="1" ht="23.25" x14ac:dyDescent="0.45">
      <c r="A18" s="36">
        <v>50</v>
      </c>
      <c r="B18" s="135">
        <v>45241</v>
      </c>
      <c r="C18" s="37">
        <v>1.5</v>
      </c>
      <c r="D18" s="132" t="s">
        <v>155</v>
      </c>
    </row>
    <row r="19" spans="1:4" s="38" customFormat="1" ht="23.25" x14ac:dyDescent="0.45">
      <c r="A19" s="36">
        <v>3</v>
      </c>
      <c r="B19" s="135">
        <v>45252</v>
      </c>
      <c r="C19" s="37">
        <v>2</v>
      </c>
      <c r="D19" s="132" t="s">
        <v>156</v>
      </c>
    </row>
    <row r="20" spans="1:4" s="38" customFormat="1" ht="23.25" x14ac:dyDescent="0.45">
      <c r="A20" s="36">
        <v>3</v>
      </c>
      <c r="B20" s="135">
        <v>45256</v>
      </c>
      <c r="C20" s="37">
        <v>7</v>
      </c>
      <c r="D20" s="132" t="s">
        <v>157</v>
      </c>
    </row>
    <row r="21" spans="1:4" s="38" customFormat="1" ht="23.25" x14ac:dyDescent="0.45">
      <c r="A21" s="36">
        <v>53</v>
      </c>
      <c r="B21" s="135">
        <v>45258</v>
      </c>
      <c r="C21" s="37">
        <v>0.25</v>
      </c>
      <c r="D21" s="132" t="s">
        <v>172</v>
      </c>
    </row>
    <row r="22" spans="1:4" s="38" customFormat="1" ht="23.25" x14ac:dyDescent="0.45">
      <c r="A22" s="36">
        <v>3</v>
      </c>
      <c r="B22" s="135">
        <v>45264</v>
      </c>
      <c r="C22" s="37">
        <v>3</v>
      </c>
      <c r="D22" s="132" t="s">
        <v>158</v>
      </c>
    </row>
    <row r="23" spans="1:4" s="38" customFormat="1" ht="23.25" x14ac:dyDescent="0.45">
      <c r="A23" s="36" t="s">
        <v>169</v>
      </c>
      <c r="B23" s="135">
        <v>45271</v>
      </c>
      <c r="C23" s="37">
        <v>0.5</v>
      </c>
      <c r="D23" s="132" t="s">
        <v>168</v>
      </c>
    </row>
    <row r="24" spans="1:4" s="38" customFormat="1" ht="23.25" x14ac:dyDescent="0.45">
      <c r="A24" s="36">
        <v>14</v>
      </c>
      <c r="B24" s="135">
        <v>45298</v>
      </c>
      <c r="C24" s="37">
        <v>5</v>
      </c>
      <c r="D24" s="132" t="s">
        <v>170</v>
      </c>
    </row>
    <row r="25" spans="1:4" s="38" customFormat="1" ht="23.25" x14ac:dyDescent="0.45">
      <c r="A25" s="36">
        <v>38</v>
      </c>
      <c r="B25" s="135">
        <v>45298</v>
      </c>
      <c r="C25" s="37">
        <v>0.1</v>
      </c>
      <c r="D25" s="132" t="s">
        <v>171</v>
      </c>
    </row>
    <row r="26" spans="1:4" s="38" customFormat="1" ht="46.5" x14ac:dyDescent="0.45">
      <c r="A26" s="36">
        <v>14</v>
      </c>
      <c r="B26" s="135">
        <v>45347</v>
      </c>
      <c r="C26" s="37">
        <v>8</v>
      </c>
      <c r="D26" s="132" t="s">
        <v>174</v>
      </c>
    </row>
    <row r="27" spans="1:4" s="38" customFormat="1" ht="23.25" x14ac:dyDescent="0.45">
      <c r="A27" s="36"/>
      <c r="B27" s="135"/>
      <c r="C27" s="37"/>
      <c r="D27" s="132"/>
    </row>
    <row r="28" spans="1:4" s="38" customFormat="1" ht="23.25" x14ac:dyDescent="0.45">
      <c r="A28" s="36"/>
      <c r="B28" s="135"/>
      <c r="C28" s="37"/>
      <c r="D28" s="132"/>
    </row>
    <row r="29" spans="1:4" s="38" customFormat="1" ht="23.25" x14ac:dyDescent="0.45">
      <c r="A29" s="36"/>
      <c r="B29" s="135"/>
      <c r="C29" s="37"/>
      <c r="D29" s="132"/>
    </row>
    <row r="30" spans="1:4" s="38" customFormat="1" ht="23.25" x14ac:dyDescent="0.45">
      <c r="A30" s="36"/>
      <c r="B30" s="135"/>
      <c r="C30" s="37"/>
      <c r="D30" s="132"/>
    </row>
    <row r="31" spans="1:4" s="38" customFormat="1" ht="23.25" x14ac:dyDescent="0.45">
      <c r="A31" s="36"/>
      <c r="B31" s="135"/>
      <c r="C31" s="37"/>
      <c r="D31" s="132"/>
    </row>
    <row r="32" spans="1:4" s="38" customFormat="1" ht="23.25" x14ac:dyDescent="0.45">
      <c r="A32" s="36"/>
      <c r="B32" s="135"/>
      <c r="C32" s="37"/>
      <c r="D32" s="132"/>
    </row>
    <row r="33" spans="1:4" s="38" customFormat="1" ht="23.25" x14ac:dyDescent="0.45">
      <c r="A33" s="36"/>
      <c r="B33" s="135"/>
      <c r="C33" s="37"/>
      <c r="D33" s="132"/>
    </row>
    <row r="34" spans="1:4" s="38" customFormat="1" ht="23.25" x14ac:dyDescent="0.45">
      <c r="A34" s="36"/>
      <c r="B34" s="135"/>
      <c r="C34" s="37"/>
      <c r="D34" s="132"/>
    </row>
    <row r="35" spans="1:4" s="38" customFormat="1" ht="23.25" x14ac:dyDescent="0.45">
      <c r="A35" s="36"/>
      <c r="B35" s="135"/>
      <c r="C35" s="37"/>
      <c r="D35" s="132"/>
    </row>
    <row r="36" spans="1:4" s="38" customFormat="1" ht="23.25" x14ac:dyDescent="0.45">
      <c r="A36" s="36"/>
      <c r="B36" s="135"/>
      <c r="C36" s="37"/>
      <c r="D36" s="132"/>
    </row>
    <row r="37" spans="1:4" s="38" customFormat="1" ht="23.25" x14ac:dyDescent="0.45">
      <c r="A37" s="36"/>
      <c r="B37" s="135"/>
      <c r="C37" s="37"/>
      <c r="D37" s="132"/>
    </row>
    <row r="38" spans="1:4" s="38" customFormat="1" ht="23.25" x14ac:dyDescent="0.45">
      <c r="A38" s="36"/>
      <c r="B38" s="135"/>
      <c r="C38" s="37"/>
      <c r="D38" s="132"/>
    </row>
    <row r="39" spans="1:4" s="38" customFormat="1" ht="23.25" x14ac:dyDescent="0.45">
      <c r="A39" s="36"/>
      <c r="B39" s="135"/>
      <c r="C39" s="37"/>
      <c r="D39" s="132"/>
    </row>
    <row r="40" spans="1:4" s="38" customFormat="1" ht="23.25" x14ac:dyDescent="0.45">
      <c r="A40" s="36"/>
      <c r="B40" s="135"/>
      <c r="C40" s="37"/>
      <c r="D40" s="132"/>
    </row>
    <row r="41" spans="1:4" s="38" customFormat="1" ht="23.25" x14ac:dyDescent="0.45">
      <c r="A41" s="36"/>
      <c r="B41" s="135"/>
      <c r="C41" s="37"/>
      <c r="D41" s="132"/>
    </row>
    <row r="42" spans="1:4" s="38" customFormat="1" ht="23.25" x14ac:dyDescent="0.45">
      <c r="A42" s="36"/>
      <c r="B42" s="135"/>
      <c r="C42" s="37"/>
      <c r="D42" s="132"/>
    </row>
    <row r="43" spans="1:4" s="38" customFormat="1" ht="23.25" x14ac:dyDescent="0.45">
      <c r="A43" s="36"/>
      <c r="B43" s="135"/>
      <c r="C43" s="37"/>
      <c r="D43" s="132"/>
    </row>
    <row r="44" spans="1:4" s="38" customFormat="1" ht="23.25" x14ac:dyDescent="0.45">
      <c r="A44" s="36"/>
      <c r="B44" s="135"/>
      <c r="C44" s="37"/>
      <c r="D44" s="132"/>
    </row>
    <row r="45" spans="1:4" s="38" customFormat="1" ht="23.25" x14ac:dyDescent="0.45">
      <c r="A45" s="36"/>
      <c r="B45" s="135"/>
      <c r="C45" s="37"/>
      <c r="D45" s="132"/>
    </row>
    <row r="46" spans="1:4" s="38" customFormat="1" ht="23.25" x14ac:dyDescent="0.45">
      <c r="A46" s="36"/>
      <c r="B46" s="135"/>
      <c r="C46" s="37"/>
      <c r="D46" s="132"/>
    </row>
    <row r="47" spans="1:4" s="38" customFormat="1" ht="23.25" x14ac:dyDescent="0.45">
      <c r="A47" s="36"/>
      <c r="B47" s="135"/>
      <c r="C47" s="37"/>
      <c r="D47" s="132"/>
    </row>
    <row r="48" spans="1:4" s="38" customFormat="1" ht="23.25" x14ac:dyDescent="0.45">
      <c r="A48" s="36"/>
      <c r="B48" s="135"/>
      <c r="C48" s="37"/>
      <c r="D48" s="132"/>
    </row>
    <row r="49" spans="1:4" s="38" customFormat="1" ht="23.25" x14ac:dyDescent="0.45">
      <c r="A49" s="36"/>
      <c r="B49" s="135"/>
      <c r="C49" s="37"/>
      <c r="D49" s="132"/>
    </row>
    <row r="50" spans="1:4" s="38" customFormat="1" ht="23.25" x14ac:dyDescent="0.45">
      <c r="A50" s="36"/>
      <c r="B50" s="135"/>
      <c r="C50" s="37"/>
      <c r="D50" s="132"/>
    </row>
    <row r="51" spans="1:4" s="38" customFormat="1" ht="23.25" x14ac:dyDescent="0.45">
      <c r="A51" s="36"/>
      <c r="B51" s="135"/>
      <c r="C51" s="37"/>
      <c r="D51" s="132"/>
    </row>
    <row r="52" spans="1:4" s="38" customFormat="1" ht="23.25" x14ac:dyDescent="0.45">
      <c r="A52" s="36"/>
      <c r="B52" s="135"/>
      <c r="C52" s="37"/>
      <c r="D52" s="132"/>
    </row>
    <row r="53" spans="1:4" s="38" customFormat="1" ht="23.25" x14ac:dyDescent="0.45">
      <c r="A53" s="36"/>
      <c r="B53" s="135"/>
      <c r="C53" s="37"/>
      <c r="D53" s="132"/>
    </row>
    <row r="54" spans="1:4" s="38" customFormat="1" ht="23.25" x14ac:dyDescent="0.45">
      <c r="A54" s="36"/>
      <c r="B54" s="135"/>
      <c r="C54" s="37"/>
      <c r="D54" s="132"/>
    </row>
    <row r="55" spans="1:4" s="38" customFormat="1" ht="23.25" x14ac:dyDescent="0.45">
      <c r="A55" s="36"/>
      <c r="B55" s="135"/>
      <c r="C55" s="37"/>
      <c r="D55" s="132"/>
    </row>
    <row r="56" spans="1:4" s="38" customFormat="1" ht="23.25" x14ac:dyDescent="0.45">
      <c r="A56" s="36"/>
      <c r="B56" s="135"/>
      <c r="C56" s="37"/>
      <c r="D56" s="132"/>
    </row>
    <row r="57" spans="1:4" s="38" customFormat="1" ht="23.25" x14ac:dyDescent="0.45">
      <c r="A57" s="36"/>
      <c r="B57" s="135"/>
      <c r="C57" s="37"/>
      <c r="D57" s="132"/>
    </row>
    <row r="58" spans="1:4" s="38" customFormat="1" ht="23.25" x14ac:dyDescent="0.45">
      <c r="A58" s="36"/>
      <c r="B58" s="135"/>
      <c r="C58" s="37"/>
      <c r="D58" s="132"/>
    </row>
    <row r="59" spans="1:4" s="38" customFormat="1" ht="23.25" x14ac:dyDescent="0.45">
      <c r="A59" s="36"/>
      <c r="B59" s="135"/>
      <c r="C59" s="37"/>
      <c r="D59" s="132"/>
    </row>
    <row r="60" spans="1:4" s="38" customFormat="1" ht="23.25" x14ac:dyDescent="0.45">
      <c r="A60" s="36"/>
      <c r="B60" s="135"/>
      <c r="C60" s="37"/>
      <c r="D60" s="132"/>
    </row>
    <row r="61" spans="1:4" s="38" customFormat="1" ht="23.25" x14ac:dyDescent="0.45">
      <c r="A61" s="36"/>
      <c r="B61" s="135"/>
      <c r="C61" s="37"/>
      <c r="D61" s="132"/>
    </row>
    <row r="62" spans="1:4" s="38" customFormat="1" ht="23.25" x14ac:dyDescent="0.45">
      <c r="A62" s="36"/>
      <c r="B62" s="135"/>
      <c r="C62" s="37"/>
      <c r="D62" s="132"/>
    </row>
    <row r="63" spans="1:4" s="38" customFormat="1" ht="23.25" x14ac:dyDescent="0.45">
      <c r="A63" s="36"/>
      <c r="B63" s="135"/>
      <c r="C63" s="37"/>
      <c r="D63" s="132"/>
    </row>
    <row r="64" spans="1:4" s="38" customFormat="1" ht="23.25" x14ac:dyDescent="0.45">
      <c r="A64" s="36"/>
      <c r="B64" s="135"/>
      <c r="C64" s="37"/>
      <c r="D64" s="132"/>
    </row>
    <row r="65" spans="1:4" s="38" customFormat="1" ht="23.25" x14ac:dyDescent="0.45">
      <c r="A65" s="36"/>
      <c r="B65" s="135"/>
      <c r="C65" s="37"/>
      <c r="D65" s="132"/>
    </row>
    <row r="66" spans="1:4" s="38" customFormat="1" ht="23.25" x14ac:dyDescent="0.45">
      <c r="A66" s="36"/>
      <c r="B66" s="135"/>
      <c r="C66" s="37"/>
      <c r="D66" s="132"/>
    </row>
    <row r="67" spans="1:4" s="38" customFormat="1" ht="23.25" x14ac:dyDescent="0.45">
      <c r="A67" s="36"/>
      <c r="B67" s="135"/>
      <c r="C67" s="37"/>
      <c r="D67" s="132"/>
    </row>
    <row r="68" spans="1:4" s="38" customFormat="1" ht="23.25" x14ac:dyDescent="0.45">
      <c r="A68" s="36"/>
      <c r="B68" s="135"/>
      <c r="C68" s="37"/>
      <c r="D68" s="132"/>
    </row>
    <row r="69" spans="1:4" s="38" customFormat="1" ht="23.25" x14ac:dyDescent="0.45">
      <c r="A69" s="36"/>
      <c r="B69" s="135"/>
      <c r="C69" s="37"/>
      <c r="D69" s="132"/>
    </row>
    <row r="70" spans="1:4" s="38" customFormat="1" ht="23.25" x14ac:dyDescent="0.45">
      <c r="A70" s="36"/>
      <c r="B70" s="135"/>
      <c r="C70" s="37"/>
      <c r="D70" s="132"/>
    </row>
    <row r="71" spans="1:4" s="38" customFormat="1" ht="23.25" x14ac:dyDescent="0.45">
      <c r="A71" s="36"/>
      <c r="B71" s="135"/>
      <c r="C71" s="37"/>
      <c r="D71" s="132"/>
    </row>
    <row r="72" spans="1:4" s="38" customFormat="1" ht="23.25" x14ac:dyDescent="0.45">
      <c r="A72" s="36"/>
      <c r="B72" s="135"/>
      <c r="C72" s="37"/>
      <c r="D72" s="132"/>
    </row>
    <row r="73" spans="1:4" s="38" customFormat="1" ht="23.25" x14ac:dyDescent="0.45">
      <c r="A73" s="36"/>
      <c r="B73" s="135"/>
      <c r="C73" s="37"/>
      <c r="D73" s="132"/>
    </row>
    <row r="74" spans="1:4" s="38" customFormat="1" ht="23.25" x14ac:dyDescent="0.45">
      <c r="A74" s="36"/>
      <c r="B74" s="135"/>
      <c r="C74" s="37"/>
      <c r="D74" s="132"/>
    </row>
    <row r="75" spans="1:4" s="38" customFormat="1" ht="23.25" x14ac:dyDescent="0.45">
      <c r="A75" s="36"/>
      <c r="B75" s="135"/>
      <c r="C75" s="37"/>
      <c r="D75" s="132"/>
    </row>
    <row r="76" spans="1:4" s="38" customFormat="1" ht="23.25" x14ac:dyDescent="0.45">
      <c r="A76" s="36"/>
      <c r="B76" s="135"/>
      <c r="C76" s="37"/>
      <c r="D76" s="132"/>
    </row>
    <row r="77" spans="1:4" s="38" customFormat="1" ht="23.25" x14ac:dyDescent="0.45">
      <c r="A77" s="36"/>
      <c r="B77" s="135"/>
      <c r="C77" s="37"/>
      <c r="D77" s="132"/>
    </row>
    <row r="78" spans="1:4" s="38" customFormat="1" ht="23.25" x14ac:dyDescent="0.45">
      <c r="A78" s="36"/>
      <c r="B78" s="135"/>
      <c r="C78" s="37"/>
      <c r="D78" s="132"/>
    </row>
    <row r="79" spans="1:4" s="38" customFormat="1" ht="23.25" x14ac:dyDescent="0.45">
      <c r="A79" s="36"/>
      <c r="B79" s="135"/>
      <c r="C79" s="37"/>
      <c r="D79" s="132"/>
    </row>
    <row r="80" spans="1:4" s="38" customFormat="1" ht="23.25" x14ac:dyDescent="0.45">
      <c r="A80" s="36"/>
      <c r="B80" s="135"/>
      <c r="C80" s="37"/>
      <c r="D80" s="132"/>
    </row>
    <row r="81" spans="1:4" s="38" customFormat="1" ht="23.25" x14ac:dyDescent="0.45">
      <c r="A81" s="36"/>
      <c r="B81" s="135"/>
      <c r="C81" s="37"/>
      <c r="D81" s="132"/>
    </row>
    <row r="82" spans="1:4" s="38" customFormat="1" ht="23.25" x14ac:dyDescent="0.45">
      <c r="A82" s="36"/>
      <c r="B82" s="135"/>
      <c r="C82" s="37"/>
      <c r="D82" s="132"/>
    </row>
    <row r="83" spans="1:4" s="38" customFormat="1" ht="23.25" x14ac:dyDescent="0.45">
      <c r="A83" s="36"/>
      <c r="B83" s="135"/>
      <c r="C83" s="37"/>
      <c r="D83" s="132"/>
    </row>
    <row r="84" spans="1:4" s="38" customFormat="1" ht="23.25" x14ac:dyDescent="0.45">
      <c r="A84" s="36"/>
      <c r="B84" s="135"/>
      <c r="C84" s="37"/>
      <c r="D84" s="132"/>
    </row>
    <row r="85" spans="1:4" s="38" customFormat="1" ht="23.25" x14ac:dyDescent="0.45">
      <c r="A85" s="36"/>
      <c r="B85" s="135"/>
      <c r="C85" s="37"/>
      <c r="D85" s="132"/>
    </row>
    <row r="86" spans="1:4" s="38" customFormat="1" ht="23.25" x14ac:dyDescent="0.45">
      <c r="A86" s="36"/>
      <c r="B86" s="135"/>
      <c r="C86" s="37"/>
      <c r="D86" s="132"/>
    </row>
    <row r="87" spans="1:4" s="38" customFormat="1" ht="23.25" x14ac:dyDescent="0.45">
      <c r="A87" s="36"/>
      <c r="B87" s="135"/>
      <c r="C87" s="37"/>
      <c r="D87" s="132"/>
    </row>
    <row r="88" spans="1:4" s="38" customFormat="1" ht="23.25" x14ac:dyDescent="0.45">
      <c r="A88" s="36"/>
      <c r="B88" s="135"/>
      <c r="C88" s="37"/>
      <c r="D88" s="132"/>
    </row>
    <row r="89" spans="1:4" s="38" customFormat="1" ht="23.25" x14ac:dyDescent="0.45">
      <c r="A89" s="36"/>
      <c r="B89" s="135"/>
      <c r="C89" s="37"/>
      <c r="D89" s="132"/>
    </row>
    <row r="90" spans="1:4" s="38" customFormat="1" ht="23.25" x14ac:dyDescent="0.45">
      <c r="A90" s="36"/>
      <c r="B90" s="135"/>
      <c r="C90" s="37"/>
      <c r="D90" s="132"/>
    </row>
    <row r="91" spans="1:4" s="38" customFormat="1" ht="23.25" x14ac:dyDescent="0.45">
      <c r="A91" s="36"/>
      <c r="B91" s="135"/>
      <c r="C91" s="37"/>
      <c r="D91" s="132"/>
    </row>
    <row r="92" spans="1:4" s="38" customFormat="1" ht="23.25" x14ac:dyDescent="0.45">
      <c r="A92" s="36"/>
      <c r="B92" s="135"/>
      <c r="C92" s="37"/>
      <c r="D92" s="132"/>
    </row>
    <row r="93" spans="1:4" s="38" customFormat="1" ht="23.25" x14ac:dyDescent="0.45">
      <c r="A93" s="36"/>
      <c r="B93" s="135"/>
      <c r="C93" s="37"/>
      <c r="D93" s="132"/>
    </row>
    <row r="94" spans="1:4" s="38" customFormat="1" ht="23.25" x14ac:dyDescent="0.45">
      <c r="A94" s="36"/>
      <c r="B94" s="135"/>
      <c r="C94" s="37"/>
      <c r="D94" s="132"/>
    </row>
    <row r="95" spans="1:4" s="38" customFormat="1" ht="23.25" x14ac:dyDescent="0.45">
      <c r="A95" s="36"/>
      <c r="B95" s="135"/>
      <c r="C95" s="37"/>
      <c r="D95" s="132"/>
    </row>
    <row r="96" spans="1:4" s="38" customFormat="1" ht="23.25" x14ac:dyDescent="0.45">
      <c r="A96" s="36"/>
      <c r="B96" s="135"/>
      <c r="C96" s="37"/>
      <c r="D96" s="132"/>
    </row>
    <row r="97" spans="1:4" s="38" customFormat="1" ht="23.25" x14ac:dyDescent="0.45">
      <c r="A97" s="36"/>
      <c r="B97" s="135"/>
      <c r="C97" s="37"/>
      <c r="D97" s="132"/>
    </row>
    <row r="98" spans="1:4" s="38" customFormat="1" ht="23.25" x14ac:dyDescent="0.45">
      <c r="A98" s="36"/>
      <c r="B98" s="135"/>
      <c r="C98" s="37"/>
      <c r="D98" s="132"/>
    </row>
    <row r="99" spans="1:4" s="38" customFormat="1" ht="23.25" x14ac:dyDescent="0.45">
      <c r="A99" s="36"/>
      <c r="B99" s="135"/>
      <c r="C99" s="37"/>
      <c r="D99" s="132"/>
    </row>
    <row r="100" spans="1:4" s="38" customFormat="1" ht="23.25" x14ac:dyDescent="0.45">
      <c r="A100" s="36"/>
      <c r="B100" s="135"/>
      <c r="C100" s="37"/>
      <c r="D100" s="132"/>
    </row>
    <row r="101" spans="1:4" s="38" customFormat="1" ht="23.25" x14ac:dyDescent="0.45">
      <c r="A101" s="36"/>
      <c r="B101" s="135"/>
      <c r="C101" s="37"/>
      <c r="D101" s="132"/>
    </row>
    <row r="102" spans="1:4" s="38" customFormat="1" ht="23.25" x14ac:dyDescent="0.45">
      <c r="A102" s="36"/>
      <c r="B102" s="135"/>
      <c r="C102" s="37"/>
      <c r="D102" s="132"/>
    </row>
    <row r="103" spans="1:4" s="38" customFormat="1" ht="23.25" x14ac:dyDescent="0.45">
      <c r="A103" s="36"/>
      <c r="B103" s="135"/>
      <c r="C103" s="37"/>
      <c r="D103" s="132"/>
    </row>
    <row r="104" spans="1:4" s="38" customFormat="1" ht="23.25" x14ac:dyDescent="0.45">
      <c r="A104" s="36"/>
      <c r="B104" s="135"/>
      <c r="C104" s="37"/>
      <c r="D104" s="132"/>
    </row>
    <row r="105" spans="1:4" s="38" customFormat="1" ht="23.25" x14ac:dyDescent="0.45">
      <c r="A105" s="36"/>
      <c r="B105" s="135"/>
      <c r="C105" s="37"/>
      <c r="D105" s="132"/>
    </row>
    <row r="106" spans="1:4" s="38" customFormat="1" ht="23.25" x14ac:dyDescent="0.45">
      <c r="A106" s="36"/>
      <c r="B106" s="135"/>
      <c r="C106" s="37"/>
      <c r="D106" s="132"/>
    </row>
    <row r="107" spans="1:4" s="38" customFormat="1" ht="23.25" x14ac:dyDescent="0.45">
      <c r="A107" s="36"/>
      <c r="B107" s="135"/>
      <c r="C107" s="37"/>
      <c r="D107" s="132"/>
    </row>
    <row r="108" spans="1:4" s="38" customFormat="1" ht="23.25" x14ac:dyDescent="0.45">
      <c r="A108" s="36"/>
      <c r="B108" s="135"/>
      <c r="C108" s="37"/>
      <c r="D108" s="132"/>
    </row>
    <row r="109" spans="1:4" s="38" customFormat="1" ht="23.25" x14ac:dyDescent="0.45">
      <c r="A109" s="36"/>
      <c r="B109" s="135"/>
      <c r="C109" s="37"/>
      <c r="D109" s="132"/>
    </row>
    <row r="110" spans="1:4" s="38" customFormat="1" ht="23.25" x14ac:dyDescent="0.45">
      <c r="A110" s="36"/>
      <c r="B110" s="135"/>
      <c r="C110" s="37"/>
      <c r="D110" s="132"/>
    </row>
    <row r="111" spans="1:4" s="38" customFormat="1" ht="23.25" x14ac:dyDescent="0.45">
      <c r="A111" s="36"/>
      <c r="B111" s="135"/>
      <c r="C111" s="37"/>
      <c r="D111" s="132"/>
    </row>
    <row r="112" spans="1:4" s="38" customFormat="1" ht="23.25" x14ac:dyDescent="0.45">
      <c r="A112" s="36"/>
      <c r="B112" s="135"/>
      <c r="C112" s="37"/>
      <c r="D112" s="132"/>
    </row>
    <row r="113" spans="1:4" s="38" customFormat="1" ht="23.25" x14ac:dyDescent="0.45">
      <c r="A113" s="36"/>
      <c r="B113" s="135"/>
      <c r="C113" s="37"/>
      <c r="D113" s="132"/>
    </row>
    <row r="114" spans="1:4" ht="23.25" x14ac:dyDescent="0.45">
      <c r="A114" s="36"/>
      <c r="B114" s="135"/>
      <c r="C114" s="37"/>
      <c r="D114" s="13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0A35-0CC7-44CE-AB26-3CA35B1EE382}">
  <dimension ref="A1:D112"/>
  <sheetViews>
    <sheetView zoomScale="52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18" sqref="A18:XFD18"/>
    </sheetView>
  </sheetViews>
  <sheetFormatPr baseColWidth="10" defaultColWidth="10.796875" defaultRowHeight="14.25" x14ac:dyDescent="0.45"/>
  <cols>
    <col min="1" max="1" width="17.53125" style="35" customWidth="1"/>
    <col min="2" max="2" width="32.53125" style="136" bestFit="1" customWidth="1"/>
    <col min="3" max="3" width="30.796875" style="33" customWidth="1"/>
    <col min="4" max="4" width="79.265625" style="133" bestFit="1" customWidth="1"/>
    <col min="5" max="8" width="11" style="33" bestFit="1" customWidth="1"/>
    <col min="9" max="16384" width="10.796875" style="33"/>
  </cols>
  <sheetData>
    <row r="1" spans="1:4" ht="91.9" x14ac:dyDescent="0.45">
      <c r="A1" s="205" t="s">
        <v>159</v>
      </c>
      <c r="B1" s="205"/>
      <c r="C1" s="205"/>
      <c r="D1" s="205"/>
    </row>
    <row r="2" spans="1:4" ht="51" x14ac:dyDescent="0.45">
      <c r="A2" s="34" t="s">
        <v>116</v>
      </c>
      <c r="B2" s="134" t="s">
        <v>117</v>
      </c>
      <c r="C2" s="26" t="s">
        <v>118</v>
      </c>
      <c r="D2" s="131" t="s">
        <v>119</v>
      </c>
    </row>
    <row r="3" spans="1:4" s="38" customFormat="1" ht="46.5" x14ac:dyDescent="0.45">
      <c r="A3" s="36">
        <v>0</v>
      </c>
      <c r="B3" s="135" t="s">
        <v>120</v>
      </c>
      <c r="C3" s="37">
        <v>20</v>
      </c>
      <c r="D3" s="132" t="s">
        <v>121</v>
      </c>
    </row>
    <row r="4" spans="1:4" s="38" customFormat="1" ht="23.25" x14ac:dyDescent="0.45">
      <c r="A4" s="36">
        <v>54</v>
      </c>
      <c r="B4" s="135">
        <v>45197</v>
      </c>
      <c r="C4" s="37">
        <v>1</v>
      </c>
      <c r="D4" s="132" t="s">
        <v>122</v>
      </c>
    </row>
    <row r="5" spans="1:4" s="38" customFormat="1" ht="23.25" x14ac:dyDescent="0.45">
      <c r="A5" s="36">
        <v>53</v>
      </c>
      <c r="B5" s="135">
        <v>45198</v>
      </c>
      <c r="C5" s="37">
        <v>0.25</v>
      </c>
      <c r="D5" s="132" t="s">
        <v>123</v>
      </c>
    </row>
    <row r="6" spans="1:4" s="38" customFormat="1" ht="23.25" x14ac:dyDescent="0.45">
      <c r="A6" s="36">
        <v>56</v>
      </c>
      <c r="B6" s="135">
        <v>45201</v>
      </c>
      <c r="C6" s="37">
        <v>0.25</v>
      </c>
      <c r="D6" s="132" t="s">
        <v>124</v>
      </c>
    </row>
    <row r="7" spans="1:4" s="38" customFormat="1" ht="23.25" x14ac:dyDescent="0.45">
      <c r="A7" s="36">
        <v>54</v>
      </c>
      <c r="B7" s="135">
        <v>45218</v>
      </c>
      <c r="C7" s="37">
        <v>1</v>
      </c>
      <c r="D7" s="132" t="s">
        <v>125</v>
      </c>
    </row>
    <row r="8" spans="1:4" s="38" customFormat="1" ht="23.25" x14ac:dyDescent="0.45">
      <c r="A8" s="36">
        <v>53</v>
      </c>
      <c r="B8" s="135">
        <v>45219</v>
      </c>
      <c r="C8" s="37">
        <v>0.25</v>
      </c>
      <c r="D8" s="132" t="s">
        <v>126</v>
      </c>
    </row>
    <row r="9" spans="1:4" s="38" customFormat="1" ht="23.25" x14ac:dyDescent="0.45">
      <c r="A9" s="36">
        <v>55</v>
      </c>
      <c r="B9" s="135">
        <v>45220</v>
      </c>
      <c r="C9" s="37">
        <v>0.75</v>
      </c>
      <c r="D9" s="132" t="s">
        <v>160</v>
      </c>
    </row>
    <row r="10" spans="1:4" s="38" customFormat="1" ht="23.25" x14ac:dyDescent="0.45">
      <c r="A10" s="36">
        <v>50</v>
      </c>
      <c r="B10" s="135">
        <v>45225</v>
      </c>
      <c r="C10" s="37">
        <v>1.5</v>
      </c>
      <c r="D10" s="132" t="s">
        <v>161</v>
      </c>
    </row>
    <row r="11" spans="1:4" s="38" customFormat="1" ht="23.25" x14ac:dyDescent="0.45">
      <c r="A11" s="36">
        <v>6</v>
      </c>
      <c r="B11" s="135">
        <v>45234</v>
      </c>
      <c r="C11" s="37">
        <v>2</v>
      </c>
      <c r="D11" s="132" t="s">
        <v>162</v>
      </c>
    </row>
    <row r="12" spans="1:4" s="38" customFormat="1" ht="23.25" x14ac:dyDescent="0.45">
      <c r="A12" s="36">
        <v>56</v>
      </c>
      <c r="B12" s="135">
        <v>45236</v>
      </c>
      <c r="C12" s="37">
        <v>0.25</v>
      </c>
      <c r="D12" s="132" t="s">
        <v>130</v>
      </c>
    </row>
    <row r="13" spans="1:4" s="38" customFormat="1" ht="23.25" x14ac:dyDescent="0.45">
      <c r="A13" s="36">
        <v>2</v>
      </c>
      <c r="B13" s="135">
        <v>45236</v>
      </c>
      <c r="C13" s="37">
        <v>0.25</v>
      </c>
      <c r="D13" s="132" t="s">
        <v>131</v>
      </c>
    </row>
    <row r="14" spans="1:4" s="38" customFormat="1" ht="23.25" x14ac:dyDescent="0.45">
      <c r="A14" s="36">
        <v>6</v>
      </c>
      <c r="B14" s="135">
        <v>45238</v>
      </c>
      <c r="C14" s="37">
        <v>2</v>
      </c>
      <c r="D14" s="132" t="s">
        <v>133</v>
      </c>
    </row>
    <row r="15" spans="1:4" s="38" customFormat="1" ht="23.25" x14ac:dyDescent="0.45">
      <c r="A15" s="36">
        <v>54</v>
      </c>
      <c r="B15" s="135">
        <v>45239</v>
      </c>
      <c r="C15" s="37">
        <v>1</v>
      </c>
      <c r="D15" s="132" t="s">
        <v>134</v>
      </c>
    </row>
    <row r="16" spans="1:4" s="38" customFormat="1" ht="23.25" x14ac:dyDescent="0.45">
      <c r="A16" s="36">
        <v>53</v>
      </c>
      <c r="B16" s="135">
        <v>45240</v>
      </c>
      <c r="C16" s="37">
        <v>0.25</v>
      </c>
      <c r="D16" s="132" t="s">
        <v>135</v>
      </c>
    </row>
    <row r="17" spans="1:4" s="38" customFormat="1" ht="23.25" x14ac:dyDescent="0.45">
      <c r="A17" s="36">
        <v>55</v>
      </c>
      <c r="B17" s="135">
        <v>45241</v>
      </c>
      <c r="C17" s="37">
        <v>0.75</v>
      </c>
      <c r="D17" s="132" t="s">
        <v>163</v>
      </c>
    </row>
    <row r="18" spans="1:4" s="38" customFormat="1" ht="23.25" x14ac:dyDescent="0.45">
      <c r="A18" s="36">
        <v>53</v>
      </c>
      <c r="B18" s="135">
        <v>45258</v>
      </c>
      <c r="C18" s="37">
        <v>0.25</v>
      </c>
      <c r="D18" s="132" t="s">
        <v>172</v>
      </c>
    </row>
    <row r="19" spans="1:4" s="38" customFormat="1" ht="23.25" x14ac:dyDescent="0.45">
      <c r="A19" s="36" t="s">
        <v>169</v>
      </c>
      <c r="B19" s="135">
        <v>45271</v>
      </c>
      <c r="C19" s="37">
        <v>0.5</v>
      </c>
      <c r="D19" s="132" t="s">
        <v>168</v>
      </c>
    </row>
    <row r="20" spans="1:4" s="38" customFormat="1" ht="23.25" x14ac:dyDescent="0.45">
      <c r="A20" s="36" t="s">
        <v>164</v>
      </c>
      <c r="B20" s="135">
        <v>45273</v>
      </c>
      <c r="C20" s="37">
        <v>0.75</v>
      </c>
      <c r="D20" s="132" t="s">
        <v>165</v>
      </c>
    </row>
    <row r="21" spans="1:4" s="38" customFormat="1" ht="23.25" x14ac:dyDescent="0.45">
      <c r="A21" s="36">
        <v>52</v>
      </c>
      <c r="B21" s="135">
        <v>45297</v>
      </c>
      <c r="C21" s="37">
        <v>1</v>
      </c>
      <c r="D21" s="132" t="s">
        <v>166</v>
      </c>
    </row>
    <row r="22" spans="1:4" s="38" customFormat="1" ht="23.25" x14ac:dyDescent="0.45">
      <c r="A22" s="36">
        <v>52</v>
      </c>
      <c r="B22" s="135">
        <v>45298</v>
      </c>
      <c r="C22" s="37">
        <v>1</v>
      </c>
      <c r="D22" s="132" t="s">
        <v>167</v>
      </c>
    </row>
    <row r="23" spans="1:4" s="38" customFormat="1" ht="23.25" x14ac:dyDescent="0.45">
      <c r="A23" s="36"/>
      <c r="B23" s="135"/>
      <c r="C23" s="37"/>
      <c r="D23" s="132"/>
    </row>
    <row r="24" spans="1:4" s="38" customFormat="1" ht="23.25" x14ac:dyDescent="0.45">
      <c r="A24" s="36"/>
      <c r="B24" s="135"/>
      <c r="C24" s="37"/>
      <c r="D24" s="132"/>
    </row>
    <row r="25" spans="1:4" s="38" customFormat="1" ht="23.25" x14ac:dyDescent="0.45">
      <c r="A25" s="36"/>
      <c r="B25" s="135"/>
      <c r="C25" s="37"/>
      <c r="D25" s="132"/>
    </row>
    <row r="26" spans="1:4" s="38" customFormat="1" ht="23.25" x14ac:dyDescent="0.45">
      <c r="A26" s="36"/>
      <c r="B26" s="135"/>
      <c r="C26" s="37"/>
      <c r="D26" s="132"/>
    </row>
    <row r="27" spans="1:4" s="38" customFormat="1" ht="23.25" x14ac:dyDescent="0.45">
      <c r="A27" s="36"/>
      <c r="B27" s="135"/>
      <c r="C27" s="37"/>
      <c r="D27" s="132"/>
    </row>
    <row r="28" spans="1:4" s="38" customFormat="1" ht="23.25" x14ac:dyDescent="0.45">
      <c r="A28" s="36"/>
      <c r="B28" s="135"/>
      <c r="C28" s="37"/>
      <c r="D28" s="132"/>
    </row>
    <row r="29" spans="1:4" s="38" customFormat="1" ht="23.25" x14ac:dyDescent="0.45">
      <c r="A29" s="36"/>
      <c r="B29" s="135"/>
      <c r="C29" s="37"/>
      <c r="D29" s="132"/>
    </row>
    <row r="30" spans="1:4" s="38" customFormat="1" ht="23.25" x14ac:dyDescent="0.45">
      <c r="A30" s="36"/>
      <c r="B30" s="135"/>
      <c r="C30" s="37"/>
      <c r="D30" s="132"/>
    </row>
    <row r="31" spans="1:4" s="38" customFormat="1" ht="23.25" x14ac:dyDescent="0.45">
      <c r="A31" s="36"/>
      <c r="B31" s="135"/>
      <c r="C31" s="37"/>
      <c r="D31" s="132"/>
    </row>
    <row r="32" spans="1:4" s="38" customFormat="1" ht="23.25" x14ac:dyDescent="0.45">
      <c r="A32" s="36"/>
      <c r="B32" s="135"/>
      <c r="C32" s="37"/>
      <c r="D32" s="132"/>
    </row>
    <row r="33" spans="1:4" s="38" customFormat="1" ht="23.25" x14ac:dyDescent="0.45">
      <c r="A33" s="36"/>
      <c r="B33" s="135"/>
      <c r="C33" s="37"/>
      <c r="D33" s="132"/>
    </row>
    <row r="34" spans="1:4" s="38" customFormat="1" ht="23.25" x14ac:dyDescent="0.45">
      <c r="A34" s="36"/>
      <c r="B34" s="135"/>
      <c r="C34" s="37"/>
      <c r="D34" s="132"/>
    </row>
    <row r="35" spans="1:4" s="38" customFormat="1" ht="23.25" x14ac:dyDescent="0.45">
      <c r="A35" s="36"/>
      <c r="B35" s="135"/>
      <c r="C35" s="37"/>
      <c r="D35" s="132"/>
    </row>
    <row r="36" spans="1:4" s="38" customFormat="1" ht="23.25" x14ac:dyDescent="0.45">
      <c r="A36" s="36"/>
      <c r="B36" s="135"/>
      <c r="C36" s="37"/>
      <c r="D36" s="132"/>
    </row>
    <row r="37" spans="1:4" s="38" customFormat="1" ht="23.25" x14ac:dyDescent="0.45">
      <c r="A37" s="36"/>
      <c r="B37" s="135"/>
      <c r="C37" s="37"/>
      <c r="D37" s="132"/>
    </row>
    <row r="38" spans="1:4" s="38" customFormat="1" ht="23.25" x14ac:dyDescent="0.45">
      <c r="A38" s="36"/>
      <c r="B38" s="135"/>
      <c r="C38" s="37"/>
      <c r="D38" s="132"/>
    </row>
    <row r="39" spans="1:4" s="38" customFormat="1" ht="23.25" x14ac:dyDescent="0.45">
      <c r="A39" s="36"/>
      <c r="B39" s="135"/>
      <c r="C39" s="37"/>
      <c r="D39" s="132"/>
    </row>
    <row r="40" spans="1:4" s="38" customFormat="1" ht="23.25" x14ac:dyDescent="0.45">
      <c r="A40" s="36"/>
      <c r="B40" s="135"/>
      <c r="C40" s="37"/>
      <c r="D40" s="132"/>
    </row>
    <row r="41" spans="1:4" s="38" customFormat="1" ht="23.25" x14ac:dyDescent="0.45">
      <c r="A41" s="36"/>
      <c r="B41" s="135"/>
      <c r="C41" s="37"/>
      <c r="D41" s="132"/>
    </row>
    <row r="42" spans="1:4" s="38" customFormat="1" ht="23.25" x14ac:dyDescent="0.45">
      <c r="A42" s="36"/>
      <c r="B42" s="135"/>
      <c r="C42" s="37"/>
      <c r="D42" s="132"/>
    </row>
    <row r="43" spans="1:4" s="38" customFormat="1" ht="23.25" x14ac:dyDescent="0.45">
      <c r="A43" s="36"/>
      <c r="B43" s="135"/>
      <c r="C43" s="37"/>
      <c r="D43" s="132"/>
    </row>
    <row r="44" spans="1:4" s="38" customFormat="1" ht="23.25" x14ac:dyDescent="0.45">
      <c r="A44" s="36"/>
      <c r="B44" s="135"/>
      <c r="C44" s="37"/>
      <c r="D44" s="132"/>
    </row>
    <row r="45" spans="1:4" s="38" customFormat="1" ht="23.25" x14ac:dyDescent="0.45">
      <c r="A45" s="36"/>
      <c r="B45" s="135"/>
      <c r="C45" s="37"/>
      <c r="D45" s="132"/>
    </row>
    <row r="46" spans="1:4" s="38" customFormat="1" ht="23.25" x14ac:dyDescent="0.45">
      <c r="A46" s="36"/>
      <c r="B46" s="135"/>
      <c r="C46" s="37"/>
      <c r="D46" s="132"/>
    </row>
    <row r="47" spans="1:4" s="38" customFormat="1" ht="23.25" x14ac:dyDescent="0.45">
      <c r="A47" s="36"/>
      <c r="B47" s="135"/>
      <c r="C47" s="37"/>
      <c r="D47" s="132"/>
    </row>
    <row r="48" spans="1:4" s="38" customFormat="1" ht="23.25" x14ac:dyDescent="0.45">
      <c r="A48" s="36"/>
      <c r="B48" s="135"/>
      <c r="C48" s="37"/>
      <c r="D48" s="132"/>
    </row>
    <row r="49" spans="1:4" s="38" customFormat="1" ht="23.25" x14ac:dyDescent="0.45">
      <c r="A49" s="36"/>
      <c r="B49" s="135"/>
      <c r="C49" s="37"/>
      <c r="D49" s="132"/>
    </row>
    <row r="50" spans="1:4" s="38" customFormat="1" ht="23.25" x14ac:dyDescent="0.45">
      <c r="A50" s="36"/>
      <c r="B50" s="135"/>
      <c r="C50" s="37"/>
      <c r="D50" s="132"/>
    </row>
    <row r="51" spans="1:4" s="38" customFormat="1" ht="23.25" x14ac:dyDescent="0.45">
      <c r="A51" s="36"/>
      <c r="B51" s="135"/>
      <c r="C51" s="37"/>
      <c r="D51" s="132"/>
    </row>
    <row r="52" spans="1:4" s="38" customFormat="1" ht="23.25" x14ac:dyDescent="0.45">
      <c r="A52" s="36"/>
      <c r="B52" s="135"/>
      <c r="C52" s="37"/>
      <c r="D52" s="132"/>
    </row>
    <row r="53" spans="1:4" s="38" customFormat="1" ht="23.25" x14ac:dyDescent="0.45">
      <c r="A53" s="36"/>
      <c r="B53" s="135"/>
      <c r="C53" s="37"/>
      <c r="D53" s="132"/>
    </row>
    <row r="54" spans="1:4" s="38" customFormat="1" ht="23.25" x14ac:dyDescent="0.45">
      <c r="A54" s="36"/>
      <c r="B54" s="135"/>
      <c r="C54" s="37"/>
      <c r="D54" s="132"/>
    </row>
    <row r="55" spans="1:4" s="38" customFormat="1" ht="23.25" x14ac:dyDescent="0.45">
      <c r="A55" s="36"/>
      <c r="B55" s="135"/>
      <c r="C55" s="37"/>
      <c r="D55" s="132"/>
    </row>
    <row r="56" spans="1:4" s="38" customFormat="1" ht="23.25" x14ac:dyDescent="0.45">
      <c r="A56" s="36"/>
      <c r="B56" s="135"/>
      <c r="C56" s="37"/>
      <c r="D56" s="132"/>
    </row>
    <row r="57" spans="1:4" s="38" customFormat="1" ht="23.25" x14ac:dyDescent="0.45">
      <c r="A57" s="36"/>
      <c r="B57" s="135"/>
      <c r="C57" s="37"/>
      <c r="D57" s="132"/>
    </row>
    <row r="58" spans="1:4" s="38" customFormat="1" ht="23.25" x14ac:dyDescent="0.45">
      <c r="A58" s="36"/>
      <c r="B58" s="135"/>
      <c r="C58" s="37"/>
      <c r="D58" s="132"/>
    </row>
    <row r="59" spans="1:4" s="38" customFormat="1" ht="23.25" x14ac:dyDescent="0.45">
      <c r="A59" s="36"/>
      <c r="B59" s="135"/>
      <c r="C59" s="37"/>
      <c r="D59" s="132"/>
    </row>
    <row r="60" spans="1:4" s="38" customFormat="1" ht="23.25" x14ac:dyDescent="0.45">
      <c r="A60" s="36"/>
      <c r="B60" s="135"/>
      <c r="C60" s="37"/>
      <c r="D60" s="132"/>
    </row>
    <row r="61" spans="1:4" s="38" customFormat="1" ht="23.25" x14ac:dyDescent="0.45">
      <c r="A61" s="36"/>
      <c r="B61" s="135"/>
      <c r="C61" s="37"/>
      <c r="D61" s="132"/>
    </row>
    <row r="62" spans="1:4" s="38" customFormat="1" ht="23.25" x14ac:dyDescent="0.45">
      <c r="A62" s="36"/>
      <c r="B62" s="135"/>
      <c r="C62" s="37"/>
      <c r="D62" s="132"/>
    </row>
    <row r="63" spans="1:4" s="38" customFormat="1" ht="23.25" x14ac:dyDescent="0.45">
      <c r="A63" s="36"/>
      <c r="B63" s="135"/>
      <c r="C63" s="37"/>
      <c r="D63" s="132"/>
    </row>
    <row r="64" spans="1:4" s="38" customFormat="1" ht="23.25" x14ac:dyDescent="0.45">
      <c r="A64" s="36"/>
      <c r="B64" s="135"/>
      <c r="C64" s="37"/>
      <c r="D64" s="132"/>
    </row>
    <row r="65" spans="1:4" s="38" customFormat="1" ht="23.25" x14ac:dyDescent="0.45">
      <c r="A65" s="36"/>
      <c r="B65" s="135"/>
      <c r="C65" s="37"/>
      <c r="D65" s="132"/>
    </row>
    <row r="66" spans="1:4" s="38" customFormat="1" ht="23.25" x14ac:dyDescent="0.45">
      <c r="A66" s="36"/>
      <c r="B66" s="135"/>
      <c r="C66" s="37"/>
      <c r="D66" s="132"/>
    </row>
    <row r="67" spans="1:4" s="38" customFormat="1" ht="23.25" x14ac:dyDescent="0.45">
      <c r="A67" s="36"/>
      <c r="B67" s="135"/>
      <c r="C67" s="37"/>
      <c r="D67" s="132"/>
    </row>
    <row r="68" spans="1:4" s="38" customFormat="1" ht="23.25" x14ac:dyDescent="0.45">
      <c r="A68" s="36"/>
      <c r="B68" s="135"/>
      <c r="C68" s="37"/>
      <c r="D68" s="132"/>
    </row>
    <row r="69" spans="1:4" s="38" customFormat="1" ht="23.25" x14ac:dyDescent="0.45">
      <c r="A69" s="36"/>
      <c r="B69" s="135"/>
      <c r="C69" s="37"/>
      <c r="D69" s="132"/>
    </row>
    <row r="70" spans="1:4" s="38" customFormat="1" ht="23.25" x14ac:dyDescent="0.45">
      <c r="A70" s="36"/>
      <c r="B70" s="135"/>
      <c r="C70" s="37"/>
      <c r="D70" s="132"/>
    </row>
    <row r="71" spans="1:4" s="38" customFormat="1" ht="23.25" x14ac:dyDescent="0.45">
      <c r="A71" s="36"/>
      <c r="B71" s="135"/>
      <c r="C71" s="37"/>
      <c r="D71" s="132"/>
    </row>
    <row r="72" spans="1:4" s="38" customFormat="1" ht="23.25" x14ac:dyDescent="0.45">
      <c r="A72" s="36"/>
      <c r="B72" s="135"/>
      <c r="C72" s="37"/>
      <c r="D72" s="132"/>
    </row>
    <row r="73" spans="1:4" s="38" customFormat="1" ht="23.25" x14ac:dyDescent="0.45">
      <c r="A73" s="36"/>
      <c r="B73" s="135"/>
      <c r="C73" s="37"/>
      <c r="D73" s="132"/>
    </row>
    <row r="74" spans="1:4" s="38" customFormat="1" ht="23.25" x14ac:dyDescent="0.45">
      <c r="A74" s="36"/>
      <c r="B74" s="135"/>
      <c r="C74" s="37"/>
      <c r="D74" s="132"/>
    </row>
    <row r="75" spans="1:4" s="38" customFormat="1" ht="23.25" x14ac:dyDescent="0.45">
      <c r="A75" s="36"/>
      <c r="B75" s="135"/>
      <c r="C75" s="37"/>
      <c r="D75" s="132"/>
    </row>
    <row r="76" spans="1:4" s="38" customFormat="1" ht="23.25" x14ac:dyDescent="0.45">
      <c r="A76" s="36"/>
      <c r="B76" s="135"/>
      <c r="C76" s="37"/>
      <c r="D76" s="132"/>
    </row>
    <row r="77" spans="1:4" s="38" customFormat="1" ht="23.25" x14ac:dyDescent="0.45">
      <c r="A77" s="36"/>
      <c r="B77" s="135"/>
      <c r="C77" s="37"/>
      <c r="D77" s="132"/>
    </row>
    <row r="78" spans="1:4" s="38" customFormat="1" ht="23.25" x14ac:dyDescent="0.45">
      <c r="A78" s="36"/>
      <c r="B78" s="135"/>
      <c r="C78" s="37"/>
      <c r="D78" s="132"/>
    </row>
    <row r="79" spans="1:4" s="38" customFormat="1" ht="23.25" x14ac:dyDescent="0.45">
      <c r="A79" s="36"/>
      <c r="B79" s="135"/>
      <c r="C79" s="37"/>
      <c r="D79" s="132"/>
    </row>
    <row r="80" spans="1:4" s="38" customFormat="1" ht="23.25" x14ac:dyDescent="0.45">
      <c r="A80" s="36"/>
      <c r="B80" s="135"/>
      <c r="C80" s="37"/>
      <c r="D80" s="132"/>
    </row>
    <row r="81" spans="1:4" s="38" customFormat="1" ht="23.25" x14ac:dyDescent="0.45">
      <c r="A81" s="36"/>
      <c r="B81" s="135"/>
      <c r="C81" s="37"/>
      <c r="D81" s="132"/>
    </row>
    <row r="82" spans="1:4" s="38" customFormat="1" ht="23.25" x14ac:dyDescent="0.45">
      <c r="A82" s="36"/>
      <c r="B82" s="135"/>
      <c r="C82" s="37"/>
      <c r="D82" s="132"/>
    </row>
    <row r="83" spans="1:4" s="38" customFormat="1" ht="23.25" x14ac:dyDescent="0.45">
      <c r="A83" s="36"/>
      <c r="B83" s="135"/>
      <c r="C83" s="37"/>
      <c r="D83" s="132"/>
    </row>
    <row r="84" spans="1:4" s="38" customFormat="1" ht="23.25" x14ac:dyDescent="0.45">
      <c r="A84" s="36"/>
      <c r="B84" s="135"/>
      <c r="C84" s="37"/>
      <c r="D84" s="132"/>
    </row>
    <row r="85" spans="1:4" s="38" customFormat="1" ht="23.25" x14ac:dyDescent="0.45">
      <c r="A85" s="36"/>
      <c r="B85" s="135"/>
      <c r="C85" s="37"/>
      <c r="D85" s="132"/>
    </row>
    <row r="86" spans="1:4" s="38" customFormat="1" ht="23.25" x14ac:dyDescent="0.45">
      <c r="A86" s="36"/>
      <c r="B86" s="135"/>
      <c r="C86" s="37"/>
      <c r="D86" s="132"/>
    </row>
    <row r="87" spans="1:4" s="38" customFormat="1" ht="23.25" x14ac:dyDescent="0.45">
      <c r="A87" s="36"/>
      <c r="B87" s="135"/>
      <c r="C87" s="37"/>
      <c r="D87" s="132"/>
    </row>
    <row r="88" spans="1:4" s="38" customFormat="1" ht="23.25" x14ac:dyDescent="0.45">
      <c r="A88" s="36"/>
      <c r="B88" s="135"/>
      <c r="C88" s="37"/>
      <c r="D88" s="132"/>
    </row>
    <row r="89" spans="1:4" s="38" customFormat="1" ht="23.25" x14ac:dyDescent="0.45">
      <c r="A89" s="36"/>
      <c r="B89" s="135"/>
      <c r="C89" s="37"/>
      <c r="D89" s="132"/>
    </row>
    <row r="90" spans="1:4" s="38" customFormat="1" ht="23.25" x14ac:dyDescent="0.45">
      <c r="A90" s="36"/>
      <c r="B90" s="135"/>
      <c r="C90" s="37"/>
      <c r="D90" s="132"/>
    </row>
    <row r="91" spans="1:4" s="38" customFormat="1" ht="23.25" x14ac:dyDescent="0.45">
      <c r="A91" s="36"/>
      <c r="B91" s="135"/>
      <c r="C91" s="37"/>
      <c r="D91" s="132"/>
    </row>
    <row r="92" spans="1:4" s="38" customFormat="1" ht="23.25" x14ac:dyDescent="0.45">
      <c r="A92" s="36"/>
      <c r="B92" s="135"/>
      <c r="C92" s="37"/>
      <c r="D92" s="132"/>
    </row>
    <row r="93" spans="1:4" s="38" customFormat="1" ht="23.25" x14ac:dyDescent="0.45">
      <c r="A93" s="36"/>
      <c r="B93" s="135"/>
      <c r="C93" s="37"/>
      <c r="D93" s="132"/>
    </row>
    <row r="94" spans="1:4" s="38" customFormat="1" ht="23.25" x14ac:dyDescent="0.45">
      <c r="A94" s="36"/>
      <c r="B94" s="135"/>
      <c r="C94" s="37"/>
      <c r="D94" s="132"/>
    </row>
    <row r="95" spans="1:4" s="38" customFormat="1" ht="23.25" x14ac:dyDescent="0.45">
      <c r="A95" s="36"/>
      <c r="B95" s="135"/>
      <c r="C95" s="37"/>
      <c r="D95" s="132"/>
    </row>
    <row r="96" spans="1:4" s="38" customFormat="1" ht="23.25" x14ac:dyDescent="0.45">
      <c r="A96" s="36"/>
      <c r="B96" s="135"/>
      <c r="C96" s="37"/>
      <c r="D96" s="132"/>
    </row>
    <row r="97" spans="1:4" s="38" customFormat="1" ht="23.25" x14ac:dyDescent="0.45">
      <c r="A97" s="36"/>
      <c r="B97" s="135"/>
      <c r="C97" s="37"/>
      <c r="D97" s="132"/>
    </row>
    <row r="98" spans="1:4" s="38" customFormat="1" ht="23.25" x14ac:dyDescent="0.45">
      <c r="A98" s="36"/>
      <c r="B98" s="135"/>
      <c r="C98" s="37"/>
      <c r="D98" s="132"/>
    </row>
    <row r="99" spans="1:4" s="38" customFormat="1" ht="23.25" x14ac:dyDescent="0.45">
      <c r="A99" s="36"/>
      <c r="B99" s="135"/>
      <c r="C99" s="37"/>
      <c r="D99" s="132"/>
    </row>
    <row r="100" spans="1:4" s="38" customFormat="1" ht="23.25" x14ac:dyDescent="0.45">
      <c r="A100" s="36"/>
      <c r="B100" s="135"/>
      <c r="C100" s="37"/>
      <c r="D100" s="132"/>
    </row>
    <row r="101" spans="1:4" s="38" customFormat="1" ht="23.25" x14ac:dyDescent="0.45">
      <c r="A101" s="36"/>
      <c r="B101" s="135"/>
      <c r="C101" s="37"/>
      <c r="D101" s="132"/>
    </row>
    <row r="102" spans="1:4" s="38" customFormat="1" ht="23.25" x14ac:dyDescent="0.45">
      <c r="A102" s="36"/>
      <c r="B102" s="135"/>
      <c r="C102" s="37"/>
      <c r="D102" s="132"/>
    </row>
    <row r="103" spans="1:4" s="38" customFormat="1" ht="23.25" x14ac:dyDescent="0.45">
      <c r="A103" s="36"/>
      <c r="B103" s="135"/>
      <c r="C103" s="37"/>
      <c r="D103" s="132"/>
    </row>
    <row r="104" spans="1:4" s="38" customFormat="1" ht="23.25" x14ac:dyDescent="0.45">
      <c r="A104" s="36"/>
      <c r="B104" s="135"/>
      <c r="C104" s="37"/>
      <c r="D104" s="132"/>
    </row>
    <row r="105" spans="1:4" s="38" customFormat="1" ht="23.25" x14ac:dyDescent="0.45">
      <c r="A105" s="36"/>
      <c r="B105" s="135"/>
      <c r="C105" s="37"/>
      <c r="D105" s="132"/>
    </row>
    <row r="106" spans="1:4" s="38" customFormat="1" ht="23.25" x14ac:dyDescent="0.45">
      <c r="A106" s="36"/>
      <c r="B106" s="135"/>
      <c r="C106" s="37"/>
      <c r="D106" s="132"/>
    </row>
    <row r="107" spans="1:4" s="38" customFormat="1" ht="23.25" x14ac:dyDescent="0.45">
      <c r="A107" s="36"/>
      <c r="B107" s="135"/>
      <c r="C107" s="37"/>
      <c r="D107" s="132"/>
    </row>
    <row r="108" spans="1:4" s="38" customFormat="1" ht="23.25" x14ac:dyDescent="0.45">
      <c r="A108" s="36"/>
      <c r="B108" s="135"/>
      <c r="C108" s="37"/>
      <c r="D108" s="132"/>
    </row>
    <row r="109" spans="1:4" s="38" customFormat="1" ht="23.25" x14ac:dyDescent="0.45">
      <c r="A109" s="36"/>
      <c r="B109" s="135"/>
      <c r="C109" s="37"/>
      <c r="D109" s="132"/>
    </row>
    <row r="110" spans="1:4" s="38" customFormat="1" ht="23.25" x14ac:dyDescent="0.45">
      <c r="A110" s="36"/>
      <c r="B110" s="135"/>
      <c r="C110" s="37"/>
      <c r="D110" s="132"/>
    </row>
    <row r="111" spans="1:4" s="38" customFormat="1" ht="23.25" x14ac:dyDescent="0.45">
      <c r="A111" s="36"/>
      <c r="B111" s="135"/>
      <c r="C111" s="37"/>
      <c r="D111" s="132"/>
    </row>
    <row r="112" spans="1:4" ht="23.25" x14ac:dyDescent="0.45">
      <c r="A112" s="36"/>
      <c r="B112" s="135"/>
      <c r="C112" s="37"/>
      <c r="D112" s="13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Planification</vt:lpstr>
      <vt:lpstr>Pamela</vt:lpstr>
      <vt:lpstr>Florian</vt:lpstr>
      <vt:lpstr>Christophe</vt:lpstr>
      <vt:lpstr>Faton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 Alexakis</dc:creator>
  <cp:keywords/>
  <dc:description/>
  <cp:lastModifiedBy>Verdon Pamela</cp:lastModifiedBy>
  <cp:revision/>
  <dcterms:created xsi:type="dcterms:W3CDTF">2015-06-05T18:19:34Z</dcterms:created>
  <dcterms:modified xsi:type="dcterms:W3CDTF">2024-05-30T22:29:57Z</dcterms:modified>
  <cp:category/>
  <cp:contentStatus/>
</cp:coreProperties>
</file>